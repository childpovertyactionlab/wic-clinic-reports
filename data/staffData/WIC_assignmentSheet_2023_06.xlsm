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twcro\Documents\CPAL\WIC\assignmentSheets\"/>
    </mc:Choice>
  </mc:AlternateContent>
  <xr:revisionPtr revIDLastSave="0" documentId="13_ncr:1_{6B398B1D-2EA8-4751-9CE2-159F9E498D17}" xr6:coauthVersionLast="47" xr6:coauthVersionMax="47" xr10:uidLastSave="{00000000-0000-0000-0000-000000000000}"/>
  <bookViews>
    <workbookView xWindow="-108" yWindow="-108" windowWidth="23256" windowHeight="12576" activeTab="3" xr2:uid="{3F5C5937-2580-4F71-A4FB-D02A48255F9E}"/>
  </bookViews>
  <sheets>
    <sheet name="Input" sheetId="3" r:id="rId1"/>
    <sheet name="Insights" sheetId="5" r:id="rId2"/>
    <sheet name="Staff" sheetId="2" r:id="rId3"/>
    <sheet name="Clinics" sheetId="4" r:id="rId4"/>
    <sheet name="Ratios" sheetId="7" r:id="rId5"/>
    <sheet name="Roles" sheetId="6" r:id="rId6"/>
  </sheets>
  <definedNames>
    <definedName name="Vacancies">Insights!$D$13</definedName>
  </definedNames>
  <calcPr calcId="191028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10" i="2" l="1"/>
  <c r="E210" i="2"/>
  <c r="A209" i="2"/>
  <c r="E209" i="2"/>
  <c r="A208" i="2"/>
  <c r="E208" i="2"/>
  <c r="A207" i="2"/>
  <c r="E207" i="2"/>
  <c r="A206" i="2"/>
  <c r="E206" i="2"/>
  <c r="A205" i="2"/>
  <c r="E205" i="2"/>
  <c r="A204" i="2"/>
  <c r="E204" i="2"/>
  <c r="A203" i="2"/>
  <c r="E203" i="2"/>
  <c r="A202" i="2"/>
  <c r="E202" i="2"/>
  <c r="A201" i="2"/>
  <c r="E201" i="2"/>
  <c r="A200" i="2"/>
  <c r="E200" i="2"/>
  <c r="A199" i="2"/>
  <c r="E199" i="2"/>
  <c r="A198" i="2"/>
  <c r="E198" i="2"/>
  <c r="A197" i="2"/>
  <c r="E197" i="2"/>
  <c r="A196" i="2"/>
  <c r="E196" i="2"/>
  <c r="A195" i="2"/>
  <c r="E195" i="2"/>
  <c r="A194" i="2"/>
  <c r="E194" i="2"/>
  <c r="A193" i="2"/>
  <c r="E193" i="2"/>
  <c r="A192" i="2"/>
  <c r="E192" i="2"/>
  <c r="A191" i="2"/>
  <c r="E191" i="2"/>
  <c r="A190" i="2"/>
  <c r="E190" i="2"/>
  <c r="A189" i="2"/>
  <c r="E189" i="2"/>
  <c r="A188" i="2"/>
  <c r="E188" i="2"/>
  <c r="A187" i="2"/>
  <c r="E187" i="2"/>
  <c r="A186" i="2"/>
  <c r="E186" i="2"/>
  <c r="A185" i="2"/>
  <c r="E185" i="2"/>
  <c r="A184" i="2"/>
  <c r="E184" i="2"/>
  <c r="A183" i="2"/>
  <c r="E183" i="2"/>
  <c r="A182" i="2"/>
  <c r="E182" i="2"/>
  <c r="A181" i="2"/>
  <c r="E181" i="2"/>
  <c r="A180" i="2"/>
  <c r="E180" i="2"/>
  <c r="A179" i="2"/>
  <c r="E179" i="2"/>
  <c r="A178" i="2"/>
  <c r="E178" i="2"/>
  <c r="A177" i="2"/>
  <c r="E177" i="2"/>
  <c r="A176" i="2"/>
  <c r="E176" i="2"/>
  <c r="A175" i="2"/>
  <c r="E175" i="2"/>
  <c r="A174" i="2"/>
  <c r="E174" i="2"/>
  <c r="A173" i="2"/>
  <c r="E173" i="2"/>
  <c r="A172" i="2"/>
  <c r="E172" i="2"/>
  <c r="A171" i="2"/>
  <c r="E171" i="2"/>
  <c r="A170" i="2"/>
  <c r="E170" i="2"/>
  <c r="A169" i="2"/>
  <c r="E169" i="2"/>
  <c r="A168" i="2"/>
  <c r="E168" i="2"/>
  <c r="A167" i="2"/>
  <c r="E167" i="2"/>
  <c r="A166" i="2"/>
  <c r="E166" i="2"/>
  <c r="A165" i="2"/>
  <c r="E165" i="2"/>
  <c r="A164" i="2"/>
  <c r="E164" i="2"/>
  <c r="A163" i="2"/>
  <c r="E163" i="2"/>
  <c r="A162" i="2"/>
  <c r="E162" i="2"/>
  <c r="A161" i="2"/>
  <c r="E161" i="2"/>
  <c r="A160" i="2"/>
  <c r="E160" i="2"/>
  <c r="E19" i="4" a="1"/>
  <c r="E19" i="4" s="1"/>
  <c r="A159" i="2"/>
  <c r="E159" i="2"/>
  <c r="A158" i="2"/>
  <c r="E158" i="2"/>
  <c r="A157" i="2"/>
  <c r="E157" i="2"/>
  <c r="A156" i="2"/>
  <c r="E156" i="2"/>
  <c r="A155" i="2"/>
  <c r="E155" i="2"/>
  <c r="A154" i="2"/>
  <c r="E154" i="2"/>
  <c r="A153" i="2"/>
  <c r="E153" i="2"/>
  <c r="A152" i="2"/>
  <c r="E152" i="2"/>
  <c r="A151" i="2"/>
  <c r="E151" i="2"/>
  <c r="A150" i="2"/>
  <c r="E150" i="2"/>
  <c r="A149" i="2"/>
  <c r="E149" i="2"/>
  <c r="A148" i="2"/>
  <c r="E148" i="2"/>
  <c r="A147" i="2"/>
  <c r="E147" i="2"/>
  <c r="A146" i="2"/>
  <c r="E146" i="2"/>
  <c r="A145" i="2"/>
  <c r="E145" i="2"/>
  <c r="A144" i="2"/>
  <c r="E144" i="2"/>
  <c r="A143" i="2"/>
  <c r="E143" i="2"/>
  <c r="A142" i="2"/>
  <c r="E142" i="2"/>
  <c r="A141" i="2"/>
  <c r="E141" i="2"/>
  <c r="A140" i="2"/>
  <c r="E140" i="2"/>
  <c r="A139" i="2"/>
  <c r="E139" i="2"/>
  <c r="A138" i="2"/>
  <c r="E138" i="2"/>
  <c r="A137" i="2"/>
  <c r="E137" i="2"/>
  <c r="A136" i="2"/>
  <c r="E136" i="2"/>
  <c r="A135" i="2"/>
  <c r="E135" i="2"/>
  <c r="A134" i="2"/>
  <c r="E134" i="2"/>
  <c r="A133" i="2"/>
  <c r="E133" i="2"/>
  <c r="A132" i="2"/>
  <c r="E132" i="2"/>
  <c r="A131" i="2"/>
  <c r="E131" i="2"/>
  <c r="A130" i="2"/>
  <c r="E130" i="2"/>
  <c r="A129" i="2"/>
  <c r="E129" i="2"/>
  <c r="A128" i="2"/>
  <c r="E128" i="2"/>
  <c r="A127" i="2"/>
  <c r="E127" i="2"/>
  <c r="A126" i="2"/>
  <c r="E126" i="2"/>
  <c r="A125" i="2"/>
  <c r="E125" i="2"/>
  <c r="A124" i="2"/>
  <c r="E124" i="2"/>
  <c r="A123" i="2"/>
  <c r="E123" i="2"/>
  <c r="A122" i="2"/>
  <c r="E122" i="2"/>
  <c r="A121" i="2"/>
  <c r="E121" i="2"/>
  <c r="A120" i="2"/>
  <c r="E120" i="2"/>
  <c r="A119" i="2"/>
  <c r="E119" i="2"/>
  <c r="A118" i="2"/>
  <c r="E118" i="2"/>
  <c r="A117" i="2"/>
  <c r="E117" i="2"/>
  <c r="A116" i="2"/>
  <c r="E116" i="2"/>
  <c r="A115" i="2"/>
  <c r="E115" i="2"/>
  <c r="A114" i="2"/>
  <c r="E114" i="2"/>
  <c r="A113" i="2"/>
  <c r="E113" i="2"/>
  <c r="A112" i="2"/>
  <c r="E112" i="2"/>
  <c r="A111" i="2"/>
  <c r="E111" i="2"/>
  <c r="A110" i="2"/>
  <c r="E110" i="2"/>
  <c r="A109" i="2"/>
  <c r="E109" i="2"/>
  <c r="A108" i="2"/>
  <c r="E108" i="2"/>
  <c r="A107" i="2"/>
  <c r="E107" i="2"/>
  <c r="A106" i="2"/>
  <c r="E106" i="2"/>
  <c r="A105" i="2"/>
  <c r="E105" i="2"/>
  <c r="A104" i="2"/>
  <c r="E104" i="2"/>
  <c r="A103" i="2"/>
  <c r="E103" i="2"/>
  <c r="A102" i="2"/>
  <c r="E102" i="2"/>
  <c r="A101" i="2"/>
  <c r="E101" i="2"/>
  <c r="A100" i="2"/>
  <c r="E100" i="2"/>
  <c r="A99" i="2"/>
  <c r="E99" i="2"/>
  <c r="A98" i="2"/>
  <c r="E98" i="2"/>
  <c r="A97" i="2"/>
  <c r="E97" i="2"/>
  <c r="A96" i="2"/>
  <c r="E96" i="2"/>
  <c r="A95" i="2"/>
  <c r="E95" i="2"/>
  <c r="A94" i="2"/>
  <c r="E94" i="2"/>
  <c r="A93" i="2"/>
  <c r="E93" i="2"/>
  <c r="A92" i="2"/>
  <c r="E92" i="2"/>
  <c r="A91" i="2"/>
  <c r="E91" i="2"/>
  <c r="A90" i="2"/>
  <c r="E90" i="2"/>
  <c r="A89" i="2"/>
  <c r="E89" i="2"/>
  <c r="A88" i="2"/>
  <c r="E88" i="2"/>
  <c r="A87" i="2"/>
  <c r="E87" i="2"/>
  <c r="A86" i="2"/>
  <c r="E86" i="2"/>
  <c r="A85" i="2"/>
  <c r="E85" i="2"/>
  <c r="A84" i="2"/>
  <c r="E84" i="2"/>
  <c r="A83" i="2"/>
  <c r="E83" i="2"/>
  <c r="A82" i="2"/>
  <c r="E82" i="2"/>
  <c r="A81" i="2"/>
  <c r="E81" i="2"/>
  <c r="A80" i="2"/>
  <c r="E80" i="2"/>
  <c r="D23" i="4"/>
  <c r="B2" i="5" s="1"/>
  <c r="L4" i="4"/>
  <c r="L6" i="4"/>
  <c r="L8" i="4"/>
  <c r="L9" i="4"/>
  <c r="L10" i="4"/>
  <c r="L11" i="4"/>
  <c r="L12" i="4"/>
  <c r="L13" i="4"/>
  <c r="L14" i="4"/>
  <c r="L15" i="4"/>
  <c r="L16" i="4"/>
  <c r="L17" i="4"/>
  <c r="L18" i="4"/>
  <c r="L19" i="4"/>
  <c r="L21" i="4"/>
  <c r="L22" i="4"/>
  <c r="T16" i="7"/>
  <c r="I4" i="4"/>
  <c r="I6" i="4"/>
  <c r="I8" i="4"/>
  <c r="I9" i="4"/>
  <c r="I10" i="4"/>
  <c r="I11" i="4"/>
  <c r="I12" i="4"/>
  <c r="I13" i="4"/>
  <c r="I14" i="4"/>
  <c r="I15" i="4"/>
  <c r="I16" i="4"/>
  <c r="I17" i="4"/>
  <c r="I18" i="4"/>
  <c r="I19" i="4"/>
  <c r="I21" i="4"/>
  <c r="I22" i="4"/>
  <c r="T25" i="7"/>
  <c r="S25" i="7"/>
  <c r="R25" i="7"/>
  <c r="T24" i="7"/>
  <c r="S24" i="7"/>
  <c r="R24" i="7"/>
  <c r="T23" i="7"/>
  <c r="S23" i="7"/>
  <c r="R23" i="7"/>
  <c r="T22" i="7"/>
  <c r="S22" i="7"/>
  <c r="R22" i="7"/>
  <c r="T21" i="7"/>
  <c r="S21" i="7"/>
  <c r="R21" i="7"/>
  <c r="T20" i="7"/>
  <c r="S20" i="7"/>
  <c r="R20" i="7"/>
  <c r="T19" i="7"/>
  <c r="S19" i="7"/>
  <c r="R19" i="7"/>
  <c r="D5" i="7" a="1"/>
  <c r="D5" i="7" s="1"/>
  <c r="T18" i="7"/>
  <c r="S18" i="7"/>
  <c r="R18" i="7"/>
  <c r="D16" i="7" a="1"/>
  <c r="D16" i="7" s="1"/>
  <c r="T17" i="7"/>
  <c r="S17" i="7"/>
  <c r="R17" i="7"/>
  <c r="D11" i="7" a="1"/>
  <c r="D11" i="7" s="1"/>
  <c r="S16" i="7"/>
  <c r="R16" i="7"/>
  <c r="D12" i="7" a="1"/>
  <c r="D12" i="7" s="1"/>
  <c r="G4" i="7" a="1"/>
  <c r="G4" i="7" s="1"/>
  <c r="D4" i="7" a="1"/>
  <c r="D4" i="7" s="1"/>
  <c r="D13" i="7" a="1"/>
  <c r="D13" i="7" s="1"/>
  <c r="G17" i="7" a="1"/>
  <c r="G17" i="7" s="1"/>
  <c r="D17" i="7" a="1"/>
  <c r="D17" i="7" s="1"/>
  <c r="D6" i="7" a="1"/>
  <c r="D6" i="7" s="1"/>
  <c r="D8" i="7" a="1"/>
  <c r="D8" i="7" s="1"/>
  <c r="G9" i="7" a="1"/>
  <c r="G9" i="7" s="1"/>
  <c r="D9" i="7" a="1"/>
  <c r="D9" i="7" s="1"/>
  <c r="D7" i="7" a="1"/>
  <c r="D7" i="7" s="1"/>
  <c r="G19" i="7" a="1"/>
  <c r="G19" i="7" s="1"/>
  <c r="D19" i="7" a="1"/>
  <c r="D19" i="7" s="1"/>
  <c r="D10" i="7" a="1"/>
  <c r="D10" i="7" s="1"/>
  <c r="D15" i="7" a="1"/>
  <c r="D15" i="7" s="1"/>
  <c r="D14" i="7" a="1"/>
  <c r="D14" i="7" s="1"/>
  <c r="D18" i="7" a="1"/>
  <c r="D18" i="7" s="1"/>
  <c r="F22" i="4"/>
  <c r="F21" i="4"/>
  <c r="F19" i="4"/>
  <c r="F18" i="4"/>
  <c r="F17" i="4"/>
  <c r="F16" i="4"/>
  <c r="F15" i="4"/>
  <c r="F14" i="4"/>
  <c r="F13" i="4"/>
  <c r="F12" i="4"/>
  <c r="F11" i="4"/>
  <c r="F10" i="4"/>
  <c r="F9" i="4"/>
  <c r="F8" i="4"/>
  <c r="F6" i="4"/>
  <c r="F4" i="4"/>
  <c r="E79" i="2"/>
  <c r="A79" i="2"/>
  <c r="E78" i="2"/>
  <c r="A78" i="2"/>
  <c r="E77" i="2"/>
  <c r="A77" i="2"/>
  <c r="E76" i="2"/>
  <c r="A76" i="2"/>
  <c r="E75" i="2"/>
  <c r="A75" i="2"/>
  <c r="E74" i="2"/>
  <c r="A74" i="2"/>
  <c r="E73" i="2"/>
  <c r="A73" i="2"/>
  <c r="E72" i="2"/>
  <c r="A72" i="2"/>
  <c r="E71" i="2"/>
  <c r="A71" i="2"/>
  <c r="E70" i="2"/>
  <c r="A70" i="2"/>
  <c r="E69" i="2"/>
  <c r="A69" i="2"/>
  <c r="E68" i="2"/>
  <c r="A68" i="2"/>
  <c r="E67" i="2"/>
  <c r="A67" i="2"/>
  <c r="E66" i="2"/>
  <c r="A66" i="2"/>
  <c r="E65" i="2"/>
  <c r="A65" i="2"/>
  <c r="E64" i="2"/>
  <c r="A64" i="2"/>
  <c r="E63" i="2"/>
  <c r="A63" i="2"/>
  <c r="E62" i="2"/>
  <c r="A62" i="2"/>
  <c r="E61" i="2"/>
  <c r="A61" i="2"/>
  <c r="E60" i="2"/>
  <c r="A60" i="2"/>
  <c r="E59" i="2"/>
  <c r="A59" i="2"/>
  <c r="E58" i="2"/>
  <c r="A58" i="2"/>
  <c r="E57" i="2"/>
  <c r="A57" i="2"/>
  <c r="E56" i="2"/>
  <c r="A56" i="2"/>
  <c r="E55" i="2"/>
  <c r="A55" i="2"/>
  <c r="E54" i="2"/>
  <c r="A54" i="2"/>
  <c r="E53" i="2"/>
  <c r="A53" i="2"/>
  <c r="E52" i="2"/>
  <c r="A52" i="2"/>
  <c r="E51" i="2"/>
  <c r="A51" i="2"/>
  <c r="E50" i="2"/>
  <c r="A50" i="2"/>
  <c r="E49" i="2"/>
  <c r="A49" i="2"/>
  <c r="E48" i="2"/>
  <c r="A48" i="2"/>
  <c r="E47" i="2"/>
  <c r="A47" i="2"/>
  <c r="E46" i="2"/>
  <c r="A46" i="2"/>
  <c r="E45" i="2"/>
  <c r="A45" i="2"/>
  <c r="E44" i="2"/>
  <c r="A44" i="2"/>
  <c r="E43" i="2"/>
  <c r="A43" i="2"/>
  <c r="E42" i="2"/>
  <c r="A42" i="2"/>
  <c r="E41" i="2"/>
  <c r="A41" i="2"/>
  <c r="E40" i="2"/>
  <c r="A40" i="2"/>
  <c r="E39" i="2"/>
  <c r="A39" i="2"/>
  <c r="E38" i="2"/>
  <c r="A38" i="2"/>
  <c r="E37" i="2"/>
  <c r="A37" i="2"/>
  <c r="E36" i="2"/>
  <c r="A36" i="2"/>
  <c r="E35" i="2"/>
  <c r="A35" i="2"/>
  <c r="E34" i="2"/>
  <c r="A34" i="2"/>
  <c r="E33" i="2"/>
  <c r="A33" i="2"/>
  <c r="E32" i="2"/>
  <c r="A32" i="2"/>
  <c r="E31" i="2"/>
  <c r="A31" i="2"/>
  <c r="E30" i="2"/>
  <c r="A30" i="2"/>
  <c r="E29" i="2"/>
  <c r="A29" i="2"/>
  <c r="E28" i="2"/>
  <c r="A28" i="2"/>
  <c r="E27" i="2"/>
  <c r="A27" i="2"/>
  <c r="E26" i="2"/>
  <c r="A26" i="2"/>
  <c r="E25" i="2"/>
  <c r="A25" i="2"/>
  <c r="E24" i="2"/>
  <c r="A24" i="2"/>
  <c r="E23" i="2"/>
  <c r="A23" i="2"/>
  <c r="E22" i="2"/>
  <c r="A22" i="2"/>
  <c r="E21" i="2"/>
  <c r="A21" i="2"/>
  <c r="E20" i="2"/>
  <c r="A20" i="2"/>
  <c r="E19" i="2"/>
  <c r="A19" i="2"/>
  <c r="E18" i="2"/>
  <c r="A18" i="2"/>
  <c r="E17" i="2"/>
  <c r="A17" i="2"/>
  <c r="E16" i="2"/>
  <c r="A16" i="2"/>
  <c r="E15" i="2"/>
  <c r="A15" i="2"/>
  <c r="E14" i="2"/>
  <c r="A14" i="2"/>
  <c r="E13" i="2"/>
  <c r="A13" i="2"/>
  <c r="E12" i="2"/>
  <c r="A12" i="2"/>
  <c r="E11" i="2"/>
  <c r="A11" i="2"/>
  <c r="E10" i="2"/>
  <c r="A10" i="2"/>
  <c r="E9" i="2"/>
  <c r="A9" i="2"/>
  <c r="E8" i="2"/>
  <c r="A8" i="2"/>
  <c r="E7" i="2"/>
  <c r="A7" i="2"/>
  <c r="E6" i="2"/>
  <c r="A6" i="2"/>
  <c r="E5" i="2"/>
  <c r="H12" i="4" s="1" a="1"/>
  <c r="H12" i="4" s="1"/>
  <c r="A5" i="2"/>
  <c r="E4" i="2"/>
  <c r="A4" i="2"/>
  <c r="E3" i="2"/>
  <c r="A3" i="2"/>
  <c r="E2" i="2"/>
  <c r="A2" i="2"/>
  <c r="K4" i="4" l="1" a="1"/>
  <c r="K4" i="4" s="1"/>
  <c r="H11" i="4" a="1"/>
  <c r="H11" i="4" s="1"/>
  <c r="K14" i="4" a="1"/>
  <c r="K14" i="4" s="1"/>
  <c r="M14" i="4" s="1"/>
  <c r="H14" i="4" a="1"/>
  <c r="H14" i="4" s="1"/>
  <c r="H13" i="4" a="1"/>
  <c r="H13" i="4" s="1"/>
  <c r="E20" i="4" a="1"/>
  <c r="E20" i="4" s="1"/>
  <c r="F20" i="4" s="1"/>
  <c r="G20" i="4" s="1"/>
  <c r="E8" i="4" a="1"/>
  <c r="E8" i="4" s="1"/>
  <c r="G8" i="4" s="1"/>
  <c r="K15" i="4" a="1"/>
  <c r="K15" i="4" s="1"/>
  <c r="M15" i="4" s="1"/>
  <c r="E7" i="4" a="1"/>
  <c r="E7" i="4" s="1"/>
  <c r="E5" i="4" a="1"/>
  <c r="E5" i="4" s="1"/>
  <c r="F5" i="4" s="1"/>
  <c r="G5" i="4" s="1"/>
  <c r="K12" i="4" a="1"/>
  <c r="K12" i="4" s="1"/>
  <c r="M12" i="4" s="1"/>
  <c r="E17" i="4" a="1"/>
  <c r="E17" i="4" s="1"/>
  <c r="G17" i="4" s="1"/>
  <c r="H21" i="4" a="1"/>
  <c r="H21" i="4" s="1"/>
  <c r="J21" i="4" s="1"/>
  <c r="H9" i="4" a="1"/>
  <c r="H9" i="4" s="1"/>
  <c r="J9" i="4" s="1"/>
  <c r="E16" i="4" a="1"/>
  <c r="E16" i="4" s="1"/>
  <c r="G16" i="4" s="1"/>
  <c r="E4" i="4" a="1"/>
  <c r="E4" i="4" s="1"/>
  <c r="G4" i="4" s="1"/>
  <c r="K11" i="4" a="1"/>
  <c r="K11" i="4" s="1"/>
  <c r="H10" i="4" a="1"/>
  <c r="H10" i="4" s="1"/>
  <c r="J10" i="4" s="1"/>
  <c r="H20" i="4" a="1"/>
  <c r="H20" i="4" s="1"/>
  <c r="I20" i="4" s="1"/>
  <c r="J20" i="4" s="1"/>
  <c r="H8" i="4" a="1"/>
  <c r="H8" i="4" s="1"/>
  <c r="J8" i="4" s="1"/>
  <c r="E15" i="4" a="1"/>
  <c r="E15" i="4" s="1"/>
  <c r="G15" i="4" s="1"/>
  <c r="K22" i="4" a="1"/>
  <c r="K22" i="4" s="1"/>
  <c r="M22" i="4" s="1"/>
  <c r="K10" i="4" a="1"/>
  <c r="K10" i="4" s="1"/>
  <c r="M10" i="4" s="1"/>
  <c r="H22" i="4" a="1"/>
  <c r="H22" i="4" s="1"/>
  <c r="J22" i="4" s="1"/>
  <c r="H19" i="4" a="1"/>
  <c r="H19" i="4" s="1"/>
  <c r="J19" i="4" s="1"/>
  <c r="H7" i="4" a="1"/>
  <c r="H7" i="4" s="1"/>
  <c r="I7" i="4" s="1"/>
  <c r="J7" i="4" s="1"/>
  <c r="E14" i="4" a="1"/>
  <c r="E14" i="4" s="1"/>
  <c r="G14" i="4" s="1"/>
  <c r="K21" i="4" a="1"/>
  <c r="K21" i="4" s="1"/>
  <c r="M21" i="4" s="1"/>
  <c r="K9" i="4" a="1"/>
  <c r="K9" i="4" s="1"/>
  <c r="M9" i="4" s="1"/>
  <c r="H18" i="4" a="1"/>
  <c r="H18" i="4" s="1"/>
  <c r="J18" i="4" s="1"/>
  <c r="H6" i="4" a="1"/>
  <c r="H6" i="4" s="1"/>
  <c r="J6" i="4" s="1"/>
  <c r="E13" i="4" a="1"/>
  <c r="E13" i="4" s="1"/>
  <c r="G13" i="4" s="1"/>
  <c r="K20" i="4" a="1"/>
  <c r="K20" i="4" s="1"/>
  <c r="L20" i="4" s="1"/>
  <c r="M20" i="4" s="1"/>
  <c r="K8" i="4" a="1"/>
  <c r="K8" i="4" s="1"/>
  <c r="M8" i="4" s="1"/>
  <c r="E6" i="4" a="1"/>
  <c r="E6" i="4" s="1"/>
  <c r="G6" i="4" s="1"/>
  <c r="H17" i="4" a="1"/>
  <c r="H17" i="4" s="1"/>
  <c r="J17" i="4" s="1"/>
  <c r="H5" i="4" a="1"/>
  <c r="H5" i="4" s="1"/>
  <c r="I5" i="4" s="1"/>
  <c r="J5" i="4" s="1"/>
  <c r="E12" i="4" a="1"/>
  <c r="E12" i="4" s="1"/>
  <c r="G12" i="4" s="1"/>
  <c r="K19" i="4" a="1"/>
  <c r="K19" i="4" s="1"/>
  <c r="M19" i="4" s="1"/>
  <c r="K7" i="4" a="1"/>
  <c r="K7" i="4" s="1"/>
  <c r="L7" i="4" s="1"/>
  <c r="M7" i="4" s="1"/>
  <c r="K13" i="4" a="1"/>
  <c r="K13" i="4" s="1"/>
  <c r="M13" i="4" s="1"/>
  <c r="H16" i="4" a="1"/>
  <c r="H16" i="4" s="1"/>
  <c r="J16" i="4" s="1"/>
  <c r="H4" i="4" a="1"/>
  <c r="H4" i="4" s="1"/>
  <c r="J4" i="4" s="1"/>
  <c r="E11" i="4" a="1"/>
  <c r="E11" i="4" s="1"/>
  <c r="G11" i="4" s="1"/>
  <c r="K18" i="4" a="1"/>
  <c r="K18" i="4" s="1"/>
  <c r="M18" i="4" s="1"/>
  <c r="K6" i="4" a="1"/>
  <c r="K6" i="4" s="1"/>
  <c r="M6" i="4" s="1"/>
  <c r="E18" i="4" a="1"/>
  <c r="E18" i="4" s="1"/>
  <c r="G18" i="4" s="1"/>
  <c r="H15" i="4" a="1"/>
  <c r="H15" i="4" s="1"/>
  <c r="J15" i="4" s="1"/>
  <c r="E22" i="4" a="1"/>
  <c r="E22" i="4" s="1"/>
  <c r="G22" i="4" s="1"/>
  <c r="E10" i="4" a="1"/>
  <c r="E10" i="4" s="1"/>
  <c r="G10" i="4" s="1"/>
  <c r="K17" i="4" a="1"/>
  <c r="K17" i="4" s="1"/>
  <c r="M17" i="4" s="1"/>
  <c r="K5" i="4" a="1"/>
  <c r="K5" i="4" s="1"/>
  <c r="L5" i="4" s="1"/>
  <c r="M5" i="4" s="1"/>
  <c r="E21" i="4" a="1"/>
  <c r="E21" i="4" s="1"/>
  <c r="G21" i="4" s="1"/>
  <c r="E9" i="4" a="1"/>
  <c r="E9" i="4" s="1"/>
  <c r="G9" i="4" s="1"/>
  <c r="K16" i="4" a="1"/>
  <c r="K16" i="4" s="1"/>
  <c r="M16" i="4" s="1"/>
  <c r="J14" i="4"/>
  <c r="J12" i="4"/>
  <c r="J11" i="4"/>
  <c r="G19" i="4"/>
  <c r="E12" i="7" a="1"/>
  <c r="E12" i="7" s="1"/>
  <c r="F18" i="7" a="1"/>
  <c r="F18" i="7" s="1"/>
  <c r="F10" i="7" a="1"/>
  <c r="F10" i="7" s="1"/>
  <c r="F9" i="7" a="1"/>
  <c r="F9" i="7" s="1"/>
  <c r="F17" i="7" a="1"/>
  <c r="F17" i="7" s="1"/>
  <c r="F12" i="7" a="1"/>
  <c r="F12" i="7" s="1"/>
  <c r="E16" i="7" a="1"/>
  <c r="E16" i="7" s="1"/>
  <c r="G18" i="7" a="1"/>
  <c r="G18" i="7" s="1"/>
  <c r="G10" i="7" a="1"/>
  <c r="G10" i="7" s="1"/>
  <c r="G12" i="7" a="1"/>
  <c r="G12" i="7" s="1"/>
  <c r="F16" i="7" a="1"/>
  <c r="F16" i="7" s="1"/>
  <c r="G16" i="7" a="1"/>
  <c r="G16" i="7" s="1"/>
  <c r="F7" i="4"/>
  <c r="G7" i="4" s="1"/>
  <c r="E14" i="7" a="1"/>
  <c r="E14" i="7" s="1"/>
  <c r="E19" i="7" a="1"/>
  <c r="E19" i="7" s="1"/>
  <c r="E8" i="7" a="1"/>
  <c r="E8" i="7" s="1"/>
  <c r="E13" i="7" a="1"/>
  <c r="E13" i="7" s="1"/>
  <c r="M4" i="4"/>
  <c r="F14" i="7" a="1"/>
  <c r="F14" i="7" s="1"/>
  <c r="F19" i="7" a="1"/>
  <c r="F19" i="7" s="1"/>
  <c r="F8" i="7" a="1"/>
  <c r="F8" i="7" s="1"/>
  <c r="F13" i="7" a="1"/>
  <c r="F13" i="7" s="1"/>
  <c r="G14" i="7" a="1"/>
  <c r="G14" i="7" s="1"/>
  <c r="G8" i="7" a="1"/>
  <c r="G8" i="7" s="1"/>
  <c r="G13" i="7" a="1"/>
  <c r="G13" i="7" s="1"/>
  <c r="E11" i="7" a="1"/>
  <c r="E11" i="7" s="1"/>
  <c r="F11" i="7" a="1"/>
  <c r="F11" i="7" s="1"/>
  <c r="E15" i="7" a="1"/>
  <c r="E15" i="7" s="1"/>
  <c r="E7" i="7" a="1"/>
  <c r="E7" i="7" s="1"/>
  <c r="E6" i="7" a="1"/>
  <c r="E6" i="7" s="1"/>
  <c r="E4" i="7" a="1"/>
  <c r="E4" i="7" s="1"/>
  <c r="G11" i="7" a="1"/>
  <c r="G11" i="7" s="1"/>
  <c r="E5" i="7" a="1"/>
  <c r="E5" i="7" s="1"/>
  <c r="J13" i="4"/>
  <c r="F15" i="7" a="1"/>
  <c r="F15" i="7" s="1"/>
  <c r="F7" i="7" a="1"/>
  <c r="F7" i="7" s="1"/>
  <c r="F6" i="7" a="1"/>
  <c r="F6" i="7" s="1"/>
  <c r="F4" i="7" a="1"/>
  <c r="F4" i="7" s="1"/>
  <c r="F5" i="7" a="1"/>
  <c r="F5" i="7" s="1"/>
  <c r="G15" i="7" a="1"/>
  <c r="G15" i="7" s="1"/>
  <c r="G7" i="7" a="1"/>
  <c r="G7" i="7" s="1"/>
  <c r="G6" i="7" a="1"/>
  <c r="G6" i="7" s="1"/>
  <c r="G5" i="7" a="1"/>
  <c r="G5" i="7" s="1"/>
  <c r="E18" i="7" a="1"/>
  <c r="E18" i="7" s="1"/>
  <c r="E10" i="7" a="1"/>
  <c r="E10" i="7" s="1"/>
  <c r="E9" i="7" a="1"/>
  <c r="E9" i="7" s="1"/>
  <c r="E17" i="7" a="1"/>
  <c r="E17" i="7" s="1"/>
  <c r="M11" i="4"/>
  <c r="J23" i="4" l="1" a="1"/>
  <c r="J23" i="4" s="1"/>
  <c r="G23" i="4" a="1"/>
  <c r="G23" i="4" s="1"/>
  <c r="M23" i="4" a="1"/>
  <c r="M23" i="4" s="1"/>
  <c r="N17" i="4"/>
  <c r="N14" i="4"/>
  <c r="N18" i="4"/>
  <c r="N6" i="4"/>
  <c r="N20" i="4"/>
  <c r="N8" i="4"/>
  <c r="N13" i="4"/>
  <c r="H23" i="4"/>
  <c r="N9" i="4"/>
  <c r="N12" i="4"/>
  <c r="F23" i="4"/>
  <c r="N16" i="4"/>
  <c r="K23" i="4"/>
  <c r="N19" i="4"/>
  <c r="N11" i="4"/>
  <c r="N4" i="4"/>
  <c r="E23" i="4"/>
  <c r="N22" i="4"/>
  <c r="N15" i="4"/>
  <c r="N10" i="4"/>
  <c r="L23" i="4"/>
  <c r="I23" i="4"/>
  <c r="N21" i="4"/>
  <c r="N5" i="4"/>
  <c r="N7" i="4"/>
  <c r="C7" i="5" l="1"/>
  <c r="B8" i="5"/>
  <c r="C6" i="5"/>
  <c r="C5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<sst xmlns="http://schemas.openxmlformats.org/spreadsheetml/2006/main" count="899" uniqueCount="309">
  <si>
    <t>Warehouse</t>
  </si>
  <si>
    <t>Admin</t>
  </si>
  <si>
    <t>WCS</t>
  </si>
  <si>
    <t>IBCLC</t>
  </si>
  <si>
    <t>CSW</t>
  </si>
  <si>
    <t>Site</t>
  </si>
  <si>
    <t>Employee name</t>
  </si>
  <si>
    <t>Vacant</t>
  </si>
  <si>
    <t>Interim</t>
  </si>
  <si>
    <t>MLK</t>
  </si>
  <si>
    <t>Lake June</t>
  </si>
  <si>
    <t>Buckner</t>
  </si>
  <si>
    <t>North Dallas</t>
  </si>
  <si>
    <t>East Garland</t>
  </si>
  <si>
    <t>West Garland</t>
  </si>
  <si>
    <t>Abrams</t>
  </si>
  <si>
    <t>Westmoreland</t>
  </si>
  <si>
    <t>Highland Hills</t>
  </si>
  <si>
    <t>Ledbetter</t>
  </si>
  <si>
    <t>Duncanville</t>
  </si>
  <si>
    <t>Location</t>
  </si>
  <si>
    <t>Grand Prairie</t>
  </si>
  <si>
    <t>Irving</t>
  </si>
  <si>
    <t>Northwest Highway</t>
  </si>
  <si>
    <t>LCC</t>
  </si>
  <si>
    <t>Manager</t>
  </si>
  <si>
    <t>Cheryl Carter</t>
  </si>
  <si>
    <t>Chandra Willis-Thompson</t>
  </si>
  <si>
    <t>Heather Buttridge</t>
  </si>
  <si>
    <t>Fruitdale</t>
  </si>
  <si>
    <t>Ana Torres</t>
  </si>
  <si>
    <t>Julie Na'Cole Tomasso</t>
  </si>
  <si>
    <t>clinic supervisor</t>
  </si>
  <si>
    <t>CSR</t>
  </si>
  <si>
    <t>nutritionist</t>
  </si>
  <si>
    <t>WCS trainee</t>
  </si>
  <si>
    <t>BFPC</t>
  </si>
  <si>
    <t>WCS Lact C</t>
  </si>
  <si>
    <t>CSR virtual ops</t>
  </si>
  <si>
    <t>PA</t>
  </si>
  <si>
    <t>DPA</t>
  </si>
  <si>
    <t>storekeeper</t>
  </si>
  <si>
    <t>warehouse supervisor</t>
  </si>
  <si>
    <t>tech analyst</t>
  </si>
  <si>
    <t>supervisor 3</t>
  </si>
  <si>
    <t>admin specialist</t>
  </si>
  <si>
    <t>OA</t>
  </si>
  <si>
    <t>PCM</t>
  </si>
  <si>
    <t>Sr PHE</t>
  </si>
  <si>
    <t>comp manager</t>
  </si>
  <si>
    <t>operations PCM</t>
  </si>
  <si>
    <t>call center staff</t>
  </si>
  <si>
    <t>note</t>
  </si>
  <si>
    <t>PCM duplicate</t>
  </si>
  <si>
    <t>supervisor duplicate</t>
  </si>
  <si>
    <t>IT person</t>
  </si>
  <si>
    <t>office administrator</t>
  </si>
  <si>
    <t>lactation consultant</t>
  </si>
  <si>
    <t>public health educator</t>
  </si>
  <si>
    <t>public health educator - NOT WIC</t>
  </si>
  <si>
    <t>same as CSW</t>
  </si>
  <si>
    <t>same as CSR</t>
  </si>
  <si>
    <t>CSR who hasn't finished program</t>
  </si>
  <si>
    <t>WCS, also BFPC</t>
  </si>
  <si>
    <t>program administrator</t>
  </si>
  <si>
    <t>deputy " "</t>
  </si>
  <si>
    <t>program compliance manager</t>
  </si>
  <si>
    <t>breastfeeding peer counselor</t>
  </si>
  <si>
    <t>Temp</t>
  </si>
  <si>
    <t>Part-time</t>
  </si>
  <si>
    <t>Position</t>
  </si>
  <si>
    <t>Clerk</t>
  </si>
  <si>
    <t>PHE</t>
  </si>
  <si>
    <t>Old list of positions</t>
  </si>
  <si>
    <t>community social worker: same as CSR</t>
  </si>
  <si>
    <t>Certifier</t>
  </si>
  <si>
    <t>WIC certification specialist</t>
  </si>
  <si>
    <t>clinic manager</t>
  </si>
  <si>
    <t>international board-certified lactation consultant</t>
  </si>
  <si>
    <t>certifier w/ nutrition bachelor's</t>
  </si>
  <si>
    <t>CSR (virtual)</t>
  </si>
  <si>
    <t>Select a location</t>
  </si>
  <si>
    <t>Nicole Harris-Jones</t>
  </si>
  <si>
    <t>Jessica Resendiz</t>
  </si>
  <si>
    <t>Lizzie Bryant</t>
  </si>
  <si>
    <t>Andrea Ambriati</t>
  </si>
  <si>
    <t>Haley Perry</t>
  </si>
  <si>
    <t>Norma Perea</t>
  </si>
  <si>
    <t>Rosie Castilleja</t>
  </si>
  <si>
    <t>Rosa Romero</t>
  </si>
  <si>
    <t>Letitia Washington</t>
  </si>
  <si>
    <t>Veronica Salinas</t>
  </si>
  <si>
    <t>Maria Rosales</t>
  </si>
  <si>
    <t>Liliana Toney</t>
  </si>
  <si>
    <t>Isaura Piedra</t>
  </si>
  <si>
    <t>Jannice Banks</t>
  </si>
  <si>
    <t>Dulce Contreras</t>
  </si>
  <si>
    <t>Catherine Clark</t>
  </si>
  <si>
    <t>Clarissa Cano</t>
  </si>
  <si>
    <t>Jorge Chuecas</t>
  </si>
  <si>
    <t>Abigail Romo</t>
  </si>
  <si>
    <t>Tomas Caseres</t>
  </si>
  <si>
    <t>2) Select a location</t>
  </si>
  <si>
    <t>Karla Martinez</t>
  </si>
  <si>
    <t>Martha Cantu</t>
  </si>
  <si>
    <t>In training</t>
  </si>
  <si>
    <t>Employee status</t>
  </si>
  <si>
    <t>Training</t>
  </si>
  <si>
    <t>Specialty</t>
  </si>
  <si>
    <t>Leave blank if none</t>
  </si>
  <si>
    <t>Staff assignments</t>
  </si>
  <si>
    <t xml:space="preserve"> Load location data</t>
  </si>
  <si>
    <t>Save data here</t>
  </si>
  <si>
    <t>Active:</t>
  </si>
  <si>
    <r>
      <t>3) Click "</t>
    </r>
    <r>
      <rPr>
        <b/>
        <sz val="9"/>
        <rFont val="Poppins"/>
      </rPr>
      <t>LOAD</t>
    </r>
    <r>
      <rPr>
        <sz val="9"/>
        <rFont val="Poppins"/>
      </rPr>
      <t>" to load that location's data</t>
    </r>
  </si>
  <si>
    <t>Clerk ratio</t>
  </si>
  <si>
    <t>Submission</t>
  </si>
  <si>
    <t>Participants</t>
  </si>
  <si>
    <t>Jeromy Apena</t>
  </si>
  <si>
    <t>Tori Smith</t>
  </si>
  <si>
    <t>Stephanie Duenas</t>
  </si>
  <si>
    <t>Torri Smith</t>
  </si>
  <si>
    <t>certifier</t>
  </si>
  <si>
    <t>vacancy dummy position</t>
  </si>
  <si>
    <t>clerk</t>
  </si>
  <si>
    <t>Walla Daffalla</t>
  </si>
  <si>
    <t>Nastaran Nafar</t>
  </si>
  <si>
    <t>Raquel Ruiz</t>
  </si>
  <si>
    <t>Estel Sterling</t>
  </si>
  <si>
    <t>Georgia Clark</t>
  </si>
  <si>
    <t>Deldrion Taylor</t>
  </si>
  <si>
    <t>Karina Romero</t>
  </si>
  <si>
    <t>Shenoah Price</t>
  </si>
  <si>
    <t>supervisor</t>
  </si>
  <si>
    <t>Carla Samaniegro</t>
  </si>
  <si>
    <t>Tamara Collins</t>
  </si>
  <si>
    <t>Diana Steed</t>
  </si>
  <si>
    <t>Maria Jiminez</t>
  </si>
  <si>
    <t>Vivian Mendoza</t>
  </si>
  <si>
    <t>Erica Gorostieta</t>
  </si>
  <si>
    <t>Tiffany Coleman</t>
  </si>
  <si>
    <t>Maria DelaCruz</t>
  </si>
  <si>
    <t>Lisa Bailey</t>
  </si>
  <si>
    <t>Marianna Tellez</t>
  </si>
  <si>
    <t>Mae Gwen Richardson</t>
  </si>
  <si>
    <t>Christina Villesana</t>
  </si>
  <si>
    <t>Gisela Flores</t>
  </si>
  <si>
    <t>Krystle Coleman</t>
  </si>
  <si>
    <t>Latoyia Pearson</t>
  </si>
  <si>
    <t>Lilia Cipriano</t>
  </si>
  <si>
    <t>Henry Hong</t>
  </si>
  <si>
    <t>RD</t>
  </si>
  <si>
    <t>Hang Nguyen</t>
  </si>
  <si>
    <t>Adelita Moreno</t>
  </si>
  <si>
    <t>Sara Presas</t>
  </si>
  <si>
    <t>Maria Meraz</t>
  </si>
  <si>
    <t>Tien Nguyen</t>
  </si>
  <si>
    <t>Virginia Flores</t>
  </si>
  <si>
    <t>Kimberly Fernandez</t>
  </si>
  <si>
    <t>Ashley Savage</t>
  </si>
  <si>
    <t>Craig Thomas</t>
  </si>
  <si>
    <t>Rosa Monsivais</t>
  </si>
  <si>
    <t>Patrice Robertson</t>
  </si>
  <si>
    <t>Rosie Madison</t>
  </si>
  <si>
    <t>Emma Becerra</t>
  </si>
  <si>
    <t>Joseph Cook</t>
  </si>
  <si>
    <t>Marisol Garcia</t>
  </si>
  <si>
    <t>Jennifer Popoca</t>
  </si>
  <si>
    <t>On leave</t>
  </si>
  <si>
    <t>WCS/LC</t>
  </si>
  <si>
    <t>both WCS and lactation counselor</t>
  </si>
  <si>
    <t>Trish Ward</t>
  </si>
  <si>
    <t>Arria Andrews</t>
  </si>
  <si>
    <t>Fabiola Dimas</t>
  </si>
  <si>
    <t>Alba Martinez</t>
  </si>
  <si>
    <t>Miracle Calcote</t>
  </si>
  <si>
    <t>Adette McFarland-Cole</t>
  </si>
  <si>
    <t>Wadainafi Smith</t>
  </si>
  <si>
    <t>Virginia Nava</t>
  </si>
  <si>
    <t>Jocelyn Coleman</t>
  </si>
  <si>
    <t>Margaret Baptiste</t>
  </si>
  <si>
    <t>Anabel Abonza</t>
  </si>
  <si>
    <t>Kayla Brown</t>
  </si>
  <si>
    <t>Annette Martin</t>
  </si>
  <si>
    <t>Ivory Simmons</t>
  </si>
  <si>
    <t>Elizabeth Armendariz</t>
  </si>
  <si>
    <t>Arionna Johns</t>
  </si>
  <si>
    <t>Lorena Carillo</t>
  </si>
  <si>
    <t>Blanca Fonseca</t>
  </si>
  <si>
    <t>Bianca Trevino</t>
  </si>
  <si>
    <t>Rosie DelaRosa</t>
  </si>
  <si>
    <t>Sandra Tovar</t>
  </si>
  <si>
    <t>Vanessa Bryan</t>
  </si>
  <si>
    <t>Gloria Granados</t>
  </si>
  <si>
    <t>Dora Rodriguez</t>
  </si>
  <si>
    <t>Chelsea O'Rourke</t>
  </si>
  <si>
    <t>Berenizes Gutierrez</t>
  </si>
  <si>
    <t>Ummahane Kagawala</t>
  </si>
  <si>
    <t>Maria Sepeda</t>
  </si>
  <si>
    <t>Lydie Makengo</t>
  </si>
  <si>
    <t>Merla Pineda</t>
  </si>
  <si>
    <t>Lorena Gonzalez</t>
  </si>
  <si>
    <t>Sandra Miera</t>
  </si>
  <si>
    <t>Kenya Brass</t>
  </si>
  <si>
    <t>Martha Castillo</t>
  </si>
  <si>
    <t>Laura Olvera</t>
  </si>
  <si>
    <t>Brianna Culclager</t>
  </si>
  <si>
    <t>Crystal Rodriguez</t>
  </si>
  <si>
    <t>Alyssa Gomez</t>
  </si>
  <si>
    <t>Cassie Shockey-Holguin</t>
  </si>
  <si>
    <t>Martha Dominguez</t>
  </si>
  <si>
    <t>Maria Abonza</t>
  </si>
  <si>
    <t>Marilyn Lopez</t>
  </si>
  <si>
    <t>Belen Navea</t>
  </si>
  <si>
    <t>Marysol Garcia</t>
  </si>
  <si>
    <t>Alli Borrego</t>
  </si>
  <si>
    <t>Daniel Peters</t>
  </si>
  <si>
    <t>Joyce Devereaux-Walls</t>
  </si>
  <si>
    <t>Johnny Garcia</t>
  </si>
  <si>
    <t>Jahnathan Sanchez</t>
  </si>
  <si>
    <t>City Hall &amp; Finance Team</t>
  </si>
  <si>
    <t>Kelli Mallard</t>
  </si>
  <si>
    <t>Juanita Bernal</t>
  </si>
  <si>
    <t>Angla Finley-Everett</t>
  </si>
  <si>
    <t>LaVerda Spencer</t>
  </si>
  <si>
    <t>Megha Bhattaram</t>
  </si>
  <si>
    <t>Maria Mossman</t>
  </si>
  <si>
    <t>Tania Zaragoza</t>
  </si>
  <si>
    <t>Nyshinemia Smith</t>
  </si>
  <si>
    <t>Lady Warren</t>
  </si>
  <si>
    <t>Guillermina Lara</t>
  </si>
  <si>
    <t>Mojisola Balogun</t>
  </si>
  <si>
    <t>Maria Ramos</t>
  </si>
  <si>
    <t>Kassy Pettigrew</t>
  </si>
  <si>
    <t>Karla Perez</t>
  </si>
  <si>
    <t>Twinkle Thompson</t>
  </si>
  <si>
    <t>Adriana Ortiz</t>
  </si>
  <si>
    <t>Marisol Lara</t>
  </si>
  <si>
    <t>Cecilia Valdez</t>
  </si>
  <si>
    <t>Cynthia Jimenez</t>
  </si>
  <si>
    <t>Rachel Walker</t>
  </si>
  <si>
    <t>Sandra Denney</t>
  </si>
  <si>
    <t>Nancy Pedroza</t>
  </si>
  <si>
    <t>Claudia Mendoza</t>
  </si>
  <si>
    <t>Reina Cardona</t>
  </si>
  <si>
    <t>Guadalupe Gonzales</t>
  </si>
  <si>
    <t>Arian Franklin</t>
  </si>
  <si>
    <t>Ayerin Banagas</t>
  </si>
  <si>
    <t>Emily Garcia</t>
  </si>
  <si>
    <t>Adeline Avalos</t>
  </si>
  <si>
    <t>Renee Colton</t>
  </si>
  <si>
    <t>Sandra Rodriguez</t>
  </si>
  <si>
    <t>Elizabeth Sanchez</t>
  </si>
  <si>
    <t>Rosalind Coleman</t>
  </si>
  <si>
    <t>Ninfa Wowack</t>
  </si>
  <si>
    <t>Brenda Pesina</t>
  </si>
  <si>
    <t>Elena Tovar</t>
  </si>
  <si>
    <t>Ana Longoria</t>
  </si>
  <si>
    <t>Participation</t>
  </si>
  <si>
    <t>CAs (3:2 WCS:Nutri)</t>
  </si>
  <si>
    <t>Supervisors</t>
  </si>
  <si>
    <t>Role</t>
  </si>
  <si>
    <t>Equation</t>
  </si>
  <si>
    <t>Supervisor</t>
  </si>
  <si>
    <t>n=(1/1000)*p</t>
  </si>
  <si>
    <t>n=(1/1800)*p</t>
  </si>
  <si>
    <t>As lin-reg</t>
  </si>
  <si>
    <t>rounded up</t>
  </si>
  <si>
    <t>n=(1/2500)*p-1</t>
  </si>
  <si>
    <t>One clerk per 1,000 participants.</t>
  </si>
  <si>
    <t>One certifier per 1,800 participants.</t>
  </si>
  <si>
    <t>One supervisor per 2,500 participants, after the first 2,500.</t>
  </si>
  <si>
    <t>Sup. ratio -2500</t>
  </si>
  <si>
    <t>Cert. ratio</t>
  </si>
  <si>
    <t>As piecewise</t>
  </si>
  <si>
    <t>Participants (p)</t>
  </si>
  <si>
    <t>Target explanation</t>
  </si>
  <si>
    <t>Below we have ratios for clerks, certifiers, and supervisors. The clerk and certifier ratios are self-explanatory. The supervisor ratios only kick in after the first 2500 participants, so clinics with p&lt;2500 are highlighted and will show "1/0"</t>
  </si>
  <si>
    <t>Clerks</t>
  </si>
  <si>
    <t>Certifiers</t>
  </si>
  <si>
    <t>excl. training, absence, etc.</t>
  </si>
  <si>
    <t>actual (cert)</t>
  </si>
  <si>
    <t>vacant (cert)</t>
  </si>
  <si>
    <t>actual (clerk)</t>
  </si>
  <si>
    <t>vacant (clerk)</t>
  </si>
  <si>
    <t>actual (super)</t>
  </si>
  <si>
    <t>vacant (super)</t>
  </si>
  <si>
    <t>target (clerk)</t>
  </si>
  <si>
    <t>target (cert)</t>
  </si>
  <si>
    <t>target (super)</t>
  </si>
  <si>
    <t>Total</t>
  </si>
  <si>
    <t>To effectively operate given current participation numbers:</t>
  </si>
  <si>
    <t>Clinic</t>
  </si>
  <si>
    <t>"needy"</t>
  </si>
  <si>
    <t>Sum of "needy"</t>
  </si>
  <si>
    <t>— E m p t y   p o s i t i o n s —</t>
  </si>
  <si>
    <t>Here are the clinics that have the most immediate needs:</t>
  </si>
  <si>
    <t>Participants last month</t>
  </si>
  <si>
    <t>Don't insert vacant positions.</t>
  </si>
  <si>
    <t>vacant</t>
  </si>
  <si>
    <t>1) If a yellow bar appears above: click "Enable macros" or "Enable editing"</t>
  </si>
  <si>
    <t>5) Enter every position, but ignore vacant ones (those are automatic)</t>
  </si>
  <si>
    <t>6) Optionally add details like "WCS trainee" or "BFPC"</t>
  </si>
  <si>
    <r>
      <t>7) Click "</t>
    </r>
    <r>
      <rPr>
        <b/>
        <sz val="9"/>
        <rFont val="Poppins"/>
      </rPr>
      <t>SAVE</t>
    </r>
    <r>
      <rPr>
        <sz val="9"/>
        <rFont val="Poppins"/>
      </rPr>
      <t>"</t>
    </r>
  </si>
  <si>
    <t>8) Load a new location</t>
  </si>
  <si>
    <t>9) Repeat step 3!</t>
  </si>
  <si>
    <t>How to enter</t>
  </si>
  <si>
    <t>4) Enter last month's participation numbers</t>
  </si>
  <si>
    <t xml:space="preserve">Last updated: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</si>
</sst>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1/&quot;#0\ "/>
  </numFmts>
  <fonts count="25" x14ac:knownFonts="1">
    <font>
      <sz val="10"/>
      <name val="Arial"/>
      <charset val="1"/>
    </font>
    <font>
      <sz val="8"/>
      <name val="Arial"/>
      <family val="2"/>
    </font>
    <font>
      <sz val="10"/>
      <name val="Arial"/>
      <family val="2"/>
    </font>
    <font>
      <sz val="10"/>
      <name val="Poppins"/>
    </font>
    <font>
      <b/>
      <sz val="12"/>
      <name val="Poppins"/>
    </font>
    <font>
      <sz val="9"/>
      <name val="Poppins"/>
    </font>
    <font>
      <sz val="10"/>
      <name val="Arial"/>
      <family val="2"/>
      <charset val="1"/>
    </font>
    <font>
      <sz val="8"/>
      <name val="Arial"/>
      <family val="2"/>
    </font>
    <font>
      <i/>
      <sz val="10"/>
      <name val="Poppins"/>
    </font>
    <font>
      <i/>
      <sz val="8"/>
      <name val="Poppins"/>
    </font>
    <font>
      <b/>
      <sz val="9"/>
      <name val="Poppins"/>
    </font>
    <font>
      <b/>
      <sz val="10"/>
      <name val="Poppins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0"/>
      <color theme="4"/>
      <name val="Poppins"/>
    </font>
    <font>
      <b/>
      <sz val="11"/>
      <color theme="4"/>
      <name val="Poppins"/>
    </font>
    <font>
      <sz val="8"/>
      <name val="Poppins"/>
    </font>
    <font>
      <i/>
      <sz val="9"/>
      <name val="Poppins"/>
    </font>
    <font>
      <u/>
      <sz val="10"/>
      <name val="Arial"/>
      <family val="2"/>
    </font>
    <font>
      <i/>
      <sz val="10"/>
      <name val="Arial"/>
      <family val="2"/>
    </font>
    <font>
      <sz val="12"/>
      <name val="Poppins"/>
    </font>
    <font>
      <sz val="14"/>
      <name val="Poppins"/>
    </font>
    <font>
      <sz val="18"/>
      <name val="Poppins"/>
    </font>
    <font>
      <i/>
      <sz val="18"/>
      <name val="Poppins"/>
    </font>
    <font>
      <b/>
      <sz val="18"/>
      <name val="Poppins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AFAFA"/>
        <bgColor indexed="64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ck">
        <color theme="9" tint="0.39991454817346722"/>
      </left>
      <right/>
      <top style="thick">
        <color theme="9" tint="0.39994506668294322"/>
      </top>
      <bottom/>
      <diagonal/>
    </border>
    <border>
      <left/>
      <right/>
      <top style="thick">
        <color theme="9" tint="0.39994506668294322"/>
      </top>
      <bottom/>
      <diagonal/>
    </border>
    <border>
      <left/>
      <right style="thick">
        <color theme="9" tint="0.39991454817346722"/>
      </right>
      <top style="thick">
        <color theme="9" tint="0.39994506668294322"/>
      </top>
      <bottom/>
      <diagonal/>
    </border>
    <border>
      <left style="thick">
        <color theme="9" tint="0.39991454817346722"/>
      </left>
      <right/>
      <top/>
      <bottom/>
      <diagonal/>
    </border>
    <border>
      <left/>
      <right style="thick">
        <color theme="9" tint="0.39991454817346722"/>
      </right>
      <top/>
      <bottom/>
      <diagonal/>
    </border>
    <border>
      <left style="thick">
        <color theme="9" tint="0.39991454817346722"/>
      </left>
      <right/>
      <top style="thick">
        <color theme="9" tint="0.39988402966399123"/>
      </top>
      <bottom/>
      <diagonal/>
    </border>
    <border>
      <left/>
      <right/>
      <top style="thick">
        <color theme="9" tint="0.39988402966399123"/>
      </top>
      <bottom/>
      <diagonal/>
    </border>
    <border>
      <left/>
      <right style="thick">
        <color theme="9" tint="0.39988402966399123"/>
      </right>
      <top style="thick">
        <color theme="9" tint="0.39988402966399123"/>
      </top>
      <bottom/>
      <diagonal/>
    </border>
    <border>
      <left/>
      <right style="thick">
        <color theme="9" tint="0.39988402966399123"/>
      </right>
      <top/>
      <bottom/>
      <diagonal/>
    </border>
    <border>
      <left style="thick">
        <color theme="9" tint="0.39988402966399123"/>
      </left>
      <right/>
      <top style="thick">
        <color theme="9" tint="0.39985351115451523"/>
      </top>
      <bottom/>
      <diagonal/>
    </border>
    <border>
      <left/>
      <right/>
      <top style="thick">
        <color theme="9" tint="0.39985351115451523"/>
      </top>
      <bottom/>
      <diagonal/>
    </border>
    <border>
      <left/>
      <right style="thick">
        <color theme="9" tint="0.39985351115451523"/>
      </right>
      <top style="thick">
        <color theme="9" tint="0.39985351115451523"/>
      </top>
      <bottom/>
      <diagonal/>
    </border>
    <border>
      <left style="thick">
        <color theme="9" tint="0.39988402966399123"/>
      </left>
      <right/>
      <top/>
      <bottom/>
      <diagonal/>
    </border>
    <border>
      <left/>
      <right style="thick">
        <color theme="9" tint="0.39985351115451523"/>
      </right>
      <top/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0" fillId="0" borderId="0" xfId="0" applyAlignment="1">
      <alignment horizontal="left"/>
    </xf>
    <xf numFmtId="0" fontId="3" fillId="0" borderId="0" xfId="0" applyFont="1"/>
    <xf numFmtId="0" fontId="6" fillId="0" borderId="0" xfId="0" applyFont="1"/>
    <xf numFmtId="164" fontId="6" fillId="0" borderId="0" xfId="0" applyNumberFormat="1" applyFont="1"/>
    <xf numFmtId="22" fontId="0" fillId="0" borderId="0" xfId="0" applyNumberFormat="1"/>
    <xf numFmtId="164" fontId="0" fillId="0" borderId="0" xfId="0" applyNumberFormat="1" applyAlignment="1">
      <alignment horizontal="left"/>
    </xf>
    <xf numFmtId="1" fontId="0" fillId="0" borderId="0" xfId="0" applyNumberFormat="1"/>
    <xf numFmtId="0" fontId="18" fillId="0" borderId="0" xfId="0" applyFont="1"/>
    <xf numFmtId="0" fontId="13" fillId="0" borderId="0" xfId="0" applyFont="1"/>
    <xf numFmtId="0" fontId="6" fillId="0" borderId="8" xfId="0" applyFont="1" applyBorder="1"/>
    <xf numFmtId="0" fontId="6" fillId="0" borderId="9" xfId="0" applyFont="1" applyBorder="1"/>
    <xf numFmtId="0" fontId="0" fillId="0" borderId="8" xfId="0" applyBorder="1"/>
    <xf numFmtId="0" fontId="0" fillId="0" borderId="9" xfId="0" applyBorder="1"/>
    <xf numFmtId="0" fontId="6" fillId="0" borderId="13" xfId="0" applyFont="1" applyBorder="1"/>
    <xf numFmtId="0" fontId="6" fillId="0" borderId="17" xfId="0" applyFont="1" applyBorder="1"/>
    <xf numFmtId="0" fontId="6" fillId="0" borderId="18" xfId="0" applyFont="1" applyBorder="1"/>
    <xf numFmtId="0" fontId="0" fillId="0" borderId="17" xfId="0" applyBorder="1"/>
    <xf numFmtId="0" fontId="0" fillId="0" borderId="18" xfId="0" applyBorder="1"/>
    <xf numFmtId="0" fontId="3" fillId="0" borderId="0" xfId="0" applyFont="1" applyAlignment="1">
      <alignment vertical="center"/>
    </xf>
    <xf numFmtId="164" fontId="3" fillId="0" borderId="0" xfId="0" applyNumberFormat="1" applyFont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164" fontId="22" fillId="0" borderId="0" xfId="0" applyNumberFormat="1" applyFont="1" applyAlignment="1">
      <alignment vertical="center"/>
    </xf>
    <xf numFmtId="2" fontId="23" fillId="0" borderId="0" xfId="0" applyNumberFormat="1" applyFont="1" applyAlignment="1">
      <alignment vertical="center"/>
    </xf>
    <xf numFmtId="0" fontId="5" fillId="0" borderId="0" xfId="0" pivotButton="1" applyFont="1" applyAlignment="1">
      <alignment vertical="top"/>
    </xf>
    <xf numFmtId="0" fontId="5" fillId="0" borderId="0" xfId="0" applyFont="1" applyAlignment="1">
      <alignment vertical="top"/>
    </xf>
    <xf numFmtId="164" fontId="5" fillId="0" borderId="0" xfId="0" applyNumberFormat="1" applyFont="1"/>
    <xf numFmtId="0" fontId="20" fillId="0" borderId="0" xfId="0" applyFont="1" applyAlignment="1">
      <alignment horizontal="left"/>
    </xf>
    <xf numFmtId="0" fontId="24" fillId="0" borderId="0" xfId="0" applyFont="1" applyAlignment="1">
      <alignment horizontal="left" vertical="center"/>
    </xf>
    <xf numFmtId="0" fontId="20" fillId="0" borderId="0" xfId="0" applyFont="1"/>
    <xf numFmtId="0" fontId="5" fillId="2" borderId="1" xfId="0" applyFont="1" applyFill="1" applyBorder="1" applyProtection="1">
      <protection locked="0"/>
    </xf>
    <xf numFmtId="0" fontId="5" fillId="3" borderId="1" xfId="0" applyFont="1" applyFill="1" applyBorder="1" applyProtection="1">
      <protection locked="0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2" borderId="0" xfId="0" applyFont="1" applyFill="1"/>
    <xf numFmtId="0" fontId="5" fillId="3" borderId="0" xfId="0" applyFont="1" applyFill="1"/>
    <xf numFmtId="0" fontId="14" fillId="0" borderId="0" xfId="0" applyFont="1"/>
    <xf numFmtId="0" fontId="15" fillId="0" borderId="0" xfId="0" applyFont="1"/>
    <xf numFmtId="0" fontId="9" fillId="0" borderId="0" xfId="0" applyFont="1"/>
    <xf numFmtId="0" fontId="10" fillId="0" borderId="0" xfId="0" applyFont="1"/>
    <xf numFmtId="0" fontId="3" fillId="3" borderId="2" xfId="0" applyFont="1" applyFill="1" applyBorder="1"/>
    <xf numFmtId="0" fontId="17" fillId="3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top"/>
    </xf>
    <xf numFmtId="0" fontId="3" fillId="3" borderId="4" xfId="0" applyFont="1" applyFill="1" applyBorder="1"/>
    <xf numFmtId="0" fontId="11" fillId="3" borderId="4" xfId="0" applyFont="1" applyFill="1" applyBorder="1"/>
    <xf numFmtId="0" fontId="3" fillId="3" borderId="0" xfId="0" applyFont="1" applyFill="1" applyAlignment="1">
      <alignment horizontal="right" vertical="center"/>
    </xf>
    <xf numFmtId="0" fontId="16" fillId="3" borderId="0" xfId="0" applyFont="1" applyFill="1" applyAlignment="1">
      <alignment horizontal="left"/>
    </xf>
    <xf numFmtId="0" fontId="5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vertical="center"/>
    </xf>
    <xf numFmtId="0" fontId="4" fillId="0" borderId="0" xfId="0" applyFont="1"/>
    <xf numFmtId="0" fontId="8" fillId="0" borderId="0" xfId="0" applyFont="1"/>
    <xf numFmtId="0" fontId="11" fillId="2" borderId="1" xfId="0" applyFont="1" applyFill="1" applyBorder="1" applyAlignment="1" applyProtection="1">
      <alignment horizontal="left" vertical="center" indent="1"/>
      <protection locked="0"/>
    </xf>
    <xf numFmtId="3" fontId="5" fillId="3" borderId="3" xfId="0" applyNumberFormat="1" applyFont="1" applyFill="1" applyBorder="1" applyAlignment="1" applyProtection="1">
      <alignment horizontal="left"/>
      <protection locked="0"/>
    </xf>
    <xf numFmtId="0" fontId="5" fillId="3" borderId="0" xfId="0" applyFont="1" applyFill="1" applyAlignment="1" applyProtection="1">
      <alignment horizontal="left" vertical="center"/>
      <protection locked="0"/>
    </xf>
    <xf numFmtId="164" fontId="5" fillId="0" borderId="0" xfId="0" applyNumberFormat="1" applyFont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0" fontId="1" fillId="0" borderId="0" xfId="0" applyFont="1" applyAlignment="1">
      <alignment horizontal="left" vertical="center" wrapText="1"/>
    </xf>
  </cellXfs>
  <cellStyles count="1">
    <cellStyle name="Normal" xfId="0" builtinId="0"/>
  </cellStyles>
  <dxfs count="53">
    <dxf>
      <border diagonalUp="0" diagonalDown="0" outline="0">
        <left style="thick">
          <color theme="9" tint="0.39991454817346722"/>
        </left>
        <right/>
        <top/>
        <bottom/>
      </border>
    </dxf>
    <dxf>
      <numFmt numFmtId="0" formatCode="General"/>
      <border diagonalUp="0" diagonalDown="0">
        <left/>
        <right style="thick">
          <color theme="9" tint="0.39985351115451523"/>
        </right>
        <top/>
        <bottom/>
        <vertical/>
        <horizontal/>
      </border>
    </dxf>
    <dxf>
      <border diagonalUp="0" diagonalDown="0" outline="0">
        <left style="thick">
          <color theme="9" tint="0.39991454817346722"/>
        </left>
        <right/>
        <top/>
        <bottom/>
      </border>
    </dxf>
    <dxf>
      <numFmt numFmtId="0" formatCode="General"/>
      <border diagonalUp="0" diagonalDown="0">
        <left/>
        <right style="thick">
          <color theme="9" tint="0.39985351115451523"/>
        </right>
        <top/>
        <bottom/>
        <vertical/>
        <horizontal/>
      </border>
    </dxf>
    <dxf>
      <border diagonalUp="0" diagonalDown="0" outline="0">
        <left style="thick">
          <color theme="9" tint="0.39991454817346722"/>
        </left>
        <right/>
        <top/>
        <bottom/>
      </border>
    </dxf>
    <dxf>
      <numFmt numFmtId="0" formatCode="General"/>
    </dxf>
    <dxf>
      <border diagonalUp="0" diagonalDown="0" outline="0">
        <left style="thick">
          <color theme="9" tint="0.39991454817346722"/>
        </left>
        <right/>
        <top/>
        <bottom/>
      </border>
    </dxf>
    <dxf>
      <numFmt numFmtId="0" formatCode="General"/>
      <border diagonalUp="0" diagonalDown="0">
        <left style="thick">
          <color theme="9" tint="0.39988402966399123"/>
        </left>
        <right/>
        <top/>
        <bottom/>
        <vertical/>
        <horizontal/>
      </border>
    </dxf>
    <dxf>
      <border diagonalUp="0" diagonalDown="0" outline="0">
        <left style="thick">
          <color theme="9" tint="0.39991454817346722"/>
        </left>
        <right/>
        <top/>
        <bottom/>
      </border>
    </dxf>
    <dxf>
      <numFmt numFmtId="0" formatCode="General"/>
      <border diagonalUp="0" diagonalDown="0">
        <left/>
        <right style="thick">
          <color theme="9" tint="0.39988402966399123"/>
        </right>
        <top/>
        <bottom/>
        <vertical/>
        <horizontal/>
      </border>
    </dxf>
    <dxf>
      <border diagonalUp="0" diagonalDown="0" outline="0">
        <left style="thick">
          <color theme="9" tint="0.39991454817346722"/>
        </left>
        <right/>
        <top/>
        <bottom/>
      </border>
    </dxf>
    <dxf>
      <numFmt numFmtId="0" formatCode="General"/>
    </dxf>
    <dxf>
      <border diagonalUp="0" diagonalDown="0" outline="0">
        <left style="thick">
          <color theme="9" tint="0.39991454817346722"/>
        </left>
        <right/>
        <top/>
        <bottom/>
      </border>
    </dxf>
    <dxf>
      <numFmt numFmtId="0" formatCode="General"/>
      <border diagonalUp="0" diagonalDown="0">
        <left style="thick">
          <color theme="9" tint="0.39991454817346722"/>
        </left>
        <right/>
        <top/>
        <bottom/>
        <vertical/>
        <horizontal/>
      </border>
    </dxf>
    <dxf>
      <border diagonalUp="0" diagonalDown="0" outline="0">
        <left style="thick">
          <color theme="9" tint="0.39991454817346722"/>
        </left>
        <right/>
        <top/>
        <bottom/>
      </border>
    </dxf>
    <dxf>
      <numFmt numFmtId="0" formatCode="General"/>
      <border diagonalUp="0" diagonalDown="0">
        <left/>
        <right style="thick">
          <color theme="9" tint="0.39991454817346722"/>
        </right>
        <top/>
        <bottom/>
        <vertical/>
        <horizontal/>
      </border>
    </dxf>
    <dxf>
      <border diagonalUp="0" diagonalDown="0" outline="0">
        <left style="thick">
          <color theme="9" tint="0.39991454817346722"/>
        </left>
        <right/>
        <top/>
        <bottom/>
      </border>
    </dxf>
    <dxf>
      <numFmt numFmtId="0" formatCode="General"/>
    </dxf>
    <dxf>
      <border diagonalUp="0" diagonalDown="0" outline="0">
        <left style="thick">
          <color theme="9" tint="0.39991454817346722"/>
        </left>
        <right/>
        <top/>
        <bottom/>
      </border>
    </dxf>
    <dxf>
      <numFmt numFmtId="0" formatCode="General"/>
      <border diagonalUp="0" diagonalDown="0">
        <left style="thick">
          <color theme="9" tint="0.39991454817346722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&quot;1/&quot;#0\ "/>
      <alignment horizontal="left" vertical="bottom" textRotation="0" wrapText="0" indent="0" justifyLastLine="0" shrinkToFit="0" readingOrder="0"/>
    </dxf>
    <dxf>
      <numFmt numFmtId="164" formatCode="&quot;1/&quot;#0\ "/>
      <alignment horizontal="left" vertical="bottom" textRotation="0" wrapText="0" indent="0" justifyLastLine="0" shrinkToFit="0" readingOrder="0"/>
    </dxf>
    <dxf>
      <numFmt numFmtId="164" formatCode="&quot;1/&quot;#0\ "/>
      <alignment horizontal="left" vertical="bottom" textRotation="0" wrapText="0" indent="0" justifyLastLine="0" shrinkToFit="0" readingOrder="0"/>
    </dxf>
    <dxf>
      <font>
        <b/>
        <family val="2"/>
      </font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" formatCode="0"/>
    </dxf>
    <dxf>
      <fill>
        <patternFill>
          <bgColor theme="7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sz val="12"/>
      </font>
    </dxf>
    <dxf>
      <font>
        <sz val="12"/>
      </font>
    </dxf>
    <dxf>
      <font>
        <sz val="9"/>
      </font>
    </dxf>
    <dxf>
      <font>
        <sz val="9"/>
      </font>
    </dxf>
    <dxf>
      <alignment vertical="top"/>
    </dxf>
    <dxf>
      <alignment vertical="top"/>
    </dxf>
    <dxf>
      <font>
        <name val="Poppins"/>
      </font>
    </dxf>
    <dxf>
      <font>
        <name val="Poppins"/>
      </font>
    </dxf>
    <dxf>
      <font>
        <name val="Poppins"/>
      </font>
    </dxf>
    <dxf>
      <font>
        <name val="Poppins"/>
      </font>
    </dxf>
    <dxf>
      <font>
        <name val="Poppins"/>
      </font>
    </dxf>
    <dxf>
      <font>
        <color rgb="FFCC0000"/>
      </font>
      <fill>
        <patternFill>
          <bgColor rgb="FFFF9999"/>
        </patternFill>
      </fill>
    </dxf>
    <dxf>
      <font>
        <color rgb="FFCC0000"/>
      </font>
      <fill>
        <patternFill>
          <bgColor rgb="FFFF9999"/>
        </patternFill>
      </fill>
    </dxf>
    <dxf>
      <font>
        <color rgb="FFCC0000"/>
      </font>
      <fill>
        <patternFill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4BD97"/>
      <rgbColor rgb="FF808080"/>
      <rgbColor rgb="FF9999FF"/>
      <rgbColor rgb="FF993366"/>
      <rgbColor rgb="FFFFFFCC"/>
      <rgbColor rgb="FFCCFFFF"/>
      <rgbColor rgb="FF660066"/>
      <rgbColor rgb="FFFF66CC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FFF99"/>
      <rgbColor rgb="FFB4C7E7"/>
      <rgbColor rgb="FFFF99CC"/>
      <rgbColor rgb="FFCC99FF"/>
      <rgbColor rgb="FFFFCC99"/>
      <rgbColor rgb="FF3366FF"/>
      <rgbColor rgb="FF33CCCC"/>
      <rgbColor rgb="FF99CC00"/>
      <rgbColor rgb="FFFFC000"/>
      <rgbColor rgb="FFE8A202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AFAFA"/>
      <color rgb="FFCC0000"/>
      <color rgb="FFFF0000"/>
      <color rgb="FFFF9999"/>
      <color rgb="FFE6E2CC"/>
      <color rgb="FF25F1FB"/>
      <color rgb="FFD4061A"/>
      <color rgb="FF990099"/>
      <color rgb="FFFFFF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Staffing</a:t>
            </a:r>
            <a:r>
              <a:rPr lang="en-US" baseline="0"/>
              <a:t> target ratios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'Ratios'!$R$2</c:f>
              <c:strCache>
                <c:ptCount val="1"/>
                <c:pt idx="0">
                  <c:v>Clerk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'Ratios'!$Q$3:$Q$12</c:f>
              <c:numCache>
                <c:formatCode>General</c:formatCode>
                <c:ptCount val="1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</c:numCache>
            </c:numRef>
          </c:cat>
          <c:val>
            <c:numRef>
              <c:f>'Ratios'!$R$3:$R$12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22-4A73-BFC6-8191EBD7C151}"/>
            </c:ext>
          </c:extLst>
        </c:ser>
        <c:ser>
          <c:idx val="1"/>
          <c:order val="1"/>
          <c:tx>
            <c:strRef>
              <c:f>'Ratios'!$S$2</c:f>
              <c:strCache>
                <c:ptCount val="1"/>
                <c:pt idx="0">
                  <c:v>CAs (3:2 WCS:Nutri)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'Ratios'!$Q$3:$Q$12</c:f>
              <c:numCache>
                <c:formatCode>General</c:formatCode>
                <c:ptCount val="1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</c:numCache>
            </c:numRef>
          </c:cat>
          <c:val>
            <c:numRef>
              <c:f>'Ratios'!$S$3:$S$12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22-4A73-BFC6-8191EBD7C151}"/>
            </c:ext>
          </c:extLst>
        </c:ser>
        <c:ser>
          <c:idx val="2"/>
          <c:order val="2"/>
          <c:tx>
            <c:strRef>
              <c:f>'Ratios'!$T$2</c:f>
              <c:strCache>
                <c:ptCount val="1"/>
                <c:pt idx="0">
                  <c:v>Supervisors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'Ratios'!$Q$3:$Q$12</c:f>
              <c:numCache>
                <c:formatCode>General</c:formatCode>
                <c:ptCount val="1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</c:numCache>
            </c:numRef>
          </c:cat>
          <c:val>
            <c:numRef>
              <c:f>'Ratios'!$T$3:$T$12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22-4A73-BFC6-8191EBD7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8780064"/>
        <c:axId val="1228781504"/>
      </c:lineChart>
      <c:catAx>
        <c:axId val="122878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781504"/>
        <c:crosses val="autoZero"/>
        <c:auto val="1"/>
        <c:lblAlgn val="ctr"/>
        <c:lblOffset val="100"/>
        <c:noMultiLvlLbl val="0"/>
      </c:catAx>
      <c:valAx>
        <c:axId val="122878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78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3</xdr:row>
          <xdr:rowOff>22860</xdr:rowOff>
        </xdr:from>
        <xdr:to>
          <xdr:col>8</xdr:col>
          <xdr:colOff>1051560</xdr:colOff>
          <xdr:row>3</xdr:row>
          <xdr:rowOff>266700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3</xdr:row>
          <xdr:rowOff>30480</xdr:rowOff>
        </xdr:from>
        <xdr:to>
          <xdr:col>6</xdr:col>
          <xdr:colOff>1280160</xdr:colOff>
          <xdr:row>3</xdr:row>
          <xdr:rowOff>266700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601980</xdr:colOff>
      <xdr:row>0</xdr:row>
      <xdr:rowOff>106680</xdr:rowOff>
    </xdr:from>
    <xdr:to>
      <xdr:col>15</xdr:col>
      <xdr:colOff>297180</xdr:colOff>
      <xdr:row>17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ylor Crockett" refreshedDate="45085.515745486111" createdVersion="8" refreshedVersion="8" minRefreshableVersion="3" recordCount="19" xr:uid="{D20A73EB-BD74-483A-923C-78719DB018FE}">
  <cacheSource type="worksheet">
    <worksheetSource name="Clinics"/>
  </cacheSource>
  <cacheFields count="14">
    <cacheField name="Site" numFmtId="0">
      <sharedItems containsString="0" containsBlank="1" containsNumber="1" containsInteger="1" minValue="1" maxValue="42"/>
    </cacheField>
    <cacheField name="Location" numFmtId="0">
      <sharedItems count="19">
        <s v="Abrams"/>
        <s v="Admin"/>
        <s v="Buckner"/>
        <s v="City Hall &amp; Finance Team"/>
        <s v="Duncanville"/>
        <s v="East Garland"/>
        <s v="Fruitdale"/>
        <s v="Grand Prairie"/>
        <s v="Highland Hills"/>
        <s v="Irving"/>
        <s v="Lake June"/>
        <s v="LCC"/>
        <s v="Ledbetter"/>
        <s v="MLK"/>
        <s v="North Dallas"/>
        <s v="Northwest Highway"/>
        <s v="Warehouse"/>
        <s v="West Garland"/>
        <s v="Westmoreland"/>
      </sharedItems>
    </cacheField>
    <cacheField name="Manager" numFmtId="0">
      <sharedItems/>
    </cacheField>
    <cacheField name="Participants" numFmtId="0">
      <sharedItems containsString="0" containsBlank="1" containsNumber="1" containsInteger="1" minValue="0" maxValue="10040"/>
    </cacheField>
    <cacheField name="actual (clerk)" numFmtId="0">
      <sharedItems containsSemiMixedTypes="0" containsString="0" containsNumber="1" containsInteger="1" minValue="0" maxValue="13"/>
    </cacheField>
    <cacheField name="target (clerk)" numFmtId="0">
      <sharedItems containsSemiMixedTypes="0" containsString="0" containsNumber="1" containsInteger="1" minValue="0" maxValue="11"/>
    </cacheField>
    <cacheField name="vacant (clerk)" numFmtId="0">
      <sharedItems containsSemiMixedTypes="0" containsString="0" containsNumber="1" containsInteger="1" minValue="-5" maxValue="4"/>
    </cacheField>
    <cacheField name="actual (cert)" numFmtId="0">
      <sharedItems containsSemiMixedTypes="0" containsString="0" containsNumber="1" containsInteger="1" minValue="0" maxValue="6"/>
    </cacheField>
    <cacheField name="target (cert)" numFmtId="0">
      <sharedItems containsSemiMixedTypes="0" containsString="0" containsNumber="1" containsInteger="1" minValue="0" maxValue="6"/>
    </cacheField>
    <cacheField name="vacant (cert)" numFmtId="0">
      <sharedItems containsSemiMixedTypes="0" containsString="0" containsNumber="1" containsInteger="1" minValue="-1" maxValue="3"/>
    </cacheField>
    <cacheField name="actual (super)" numFmtId="0">
      <sharedItems containsSemiMixedTypes="0" containsString="0" containsNumber="1" containsInteger="1" minValue="0" maxValue="3"/>
    </cacheField>
    <cacheField name="target (super)" numFmtId="0">
      <sharedItems containsSemiMixedTypes="0" containsString="0" containsNumber="1" containsInteger="1" minValue="0" maxValue="4"/>
    </cacheField>
    <cacheField name="vacant (super)" numFmtId="0">
      <sharedItems containsSemiMixedTypes="0" containsString="0" containsNumber="1" containsInteger="1" minValue="-1" maxValue="1"/>
    </cacheField>
    <cacheField name="&quot;needy&quot;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 pivotCacheId="76241785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n v="37"/>
    <x v="0"/>
    <s v="Ana Torres"/>
    <n v="4606"/>
    <n v="6"/>
    <n v="5"/>
    <n v="-1"/>
    <n v="3"/>
    <n v="3"/>
    <n v="0"/>
    <n v="1"/>
    <n v="1"/>
    <n v="0"/>
    <n v="0"/>
  </r>
  <r>
    <m/>
    <x v="1"/>
    <s v="Cheryl Carter"/>
    <m/>
    <n v="0"/>
    <n v="0"/>
    <n v="0"/>
    <n v="0"/>
    <n v="0"/>
    <n v="0"/>
    <n v="0"/>
    <n v="0"/>
    <n v="0"/>
    <n v="0"/>
  </r>
  <r>
    <n v="26"/>
    <x v="2"/>
    <s v="Ana Torres"/>
    <n v="7749"/>
    <n v="13"/>
    <n v="8"/>
    <n v="-5"/>
    <n v="6"/>
    <n v="5"/>
    <n v="-1"/>
    <n v="2"/>
    <n v="3"/>
    <n v="1"/>
    <n v="0"/>
  </r>
  <r>
    <m/>
    <x v="3"/>
    <s v="Daniel Peters"/>
    <m/>
    <n v="0"/>
    <n v="0"/>
    <n v="0"/>
    <n v="0"/>
    <n v="0"/>
    <n v="0"/>
    <n v="1"/>
    <n v="1"/>
    <n v="0"/>
    <n v="0"/>
  </r>
  <r>
    <n v="30"/>
    <x v="4"/>
    <s v="Chandra Willis-Thompson"/>
    <n v="3818"/>
    <n v="4"/>
    <n v="4"/>
    <n v="0"/>
    <n v="1"/>
    <n v="3"/>
    <n v="2"/>
    <n v="1"/>
    <n v="1"/>
    <n v="0"/>
    <n v="1"/>
  </r>
  <r>
    <n v="11"/>
    <x v="5"/>
    <s v="Julie Na'Cole Tomasso"/>
    <n v="6182"/>
    <n v="3"/>
    <n v="7"/>
    <n v="4"/>
    <n v="3"/>
    <n v="4"/>
    <n v="1"/>
    <n v="1"/>
    <n v="2"/>
    <n v="1"/>
    <n v="1"/>
  </r>
  <r>
    <n v="42"/>
    <x v="6"/>
    <s v="Heather Buttridge"/>
    <n v="0"/>
    <n v="1"/>
    <n v="0"/>
    <n v="-1"/>
    <n v="1"/>
    <n v="0"/>
    <n v="-1"/>
    <n v="0"/>
    <n v="0"/>
    <n v="0"/>
    <n v="0"/>
  </r>
  <r>
    <n v="8"/>
    <x v="7"/>
    <s v="Cheryl Carter"/>
    <n v="4977"/>
    <n v="2"/>
    <n v="5"/>
    <n v="3"/>
    <n v="4"/>
    <n v="3"/>
    <n v="-1"/>
    <n v="1"/>
    <n v="1"/>
    <n v="0"/>
    <n v="1"/>
  </r>
  <r>
    <n v="10"/>
    <x v="8"/>
    <s v="Heather Buttridge"/>
    <n v="179"/>
    <n v="1"/>
    <n v="1"/>
    <n v="0"/>
    <n v="1"/>
    <n v="1"/>
    <n v="0"/>
    <n v="0"/>
    <n v="0"/>
    <n v="0"/>
    <n v="0"/>
  </r>
  <r>
    <n v="9"/>
    <x v="9"/>
    <s v="Cheryl Carter"/>
    <n v="9200"/>
    <n v="7"/>
    <n v="10"/>
    <n v="3"/>
    <n v="5"/>
    <n v="6"/>
    <n v="1"/>
    <n v="2"/>
    <n v="3"/>
    <n v="1"/>
    <n v="1"/>
  </r>
  <r>
    <n v="5"/>
    <x v="10"/>
    <s v="Heather Buttridge"/>
    <n v="10040"/>
    <n v="8"/>
    <n v="11"/>
    <n v="3"/>
    <n v="4"/>
    <n v="6"/>
    <n v="2"/>
    <n v="3"/>
    <n v="4"/>
    <n v="1"/>
    <n v="1"/>
  </r>
  <r>
    <n v="34"/>
    <x v="11"/>
    <s v="Julie Na'Cole Tomasso"/>
    <n v="141"/>
    <n v="2"/>
    <n v="1"/>
    <n v="-1"/>
    <n v="1"/>
    <n v="1"/>
    <n v="0"/>
    <n v="1"/>
    <n v="0"/>
    <n v="-1"/>
    <n v="0"/>
  </r>
  <r>
    <n v="25"/>
    <x v="12"/>
    <s v="Chandra Willis-Thompson"/>
    <n v="8800"/>
    <n v="7"/>
    <n v="9"/>
    <n v="2"/>
    <n v="5"/>
    <n v="5"/>
    <n v="0"/>
    <n v="2"/>
    <n v="3"/>
    <n v="1"/>
    <n v="0"/>
  </r>
  <r>
    <n v="1"/>
    <x v="13"/>
    <s v="Heather Buttridge"/>
    <n v="1244"/>
    <n v="2"/>
    <n v="2"/>
    <n v="0"/>
    <n v="0"/>
    <n v="1"/>
    <n v="1"/>
    <n v="1"/>
    <n v="0"/>
    <n v="-1"/>
    <n v="0"/>
  </r>
  <r>
    <n v="24"/>
    <x v="14"/>
    <s v="Julie Na'Cole Tomasso"/>
    <n v="6959"/>
    <n v="5"/>
    <n v="7"/>
    <n v="2"/>
    <n v="1"/>
    <n v="4"/>
    <n v="3"/>
    <n v="2"/>
    <n v="2"/>
    <n v="0"/>
    <n v="1"/>
  </r>
  <r>
    <n v="17"/>
    <x v="15"/>
    <s v="Cheryl Carter"/>
    <n v="3818"/>
    <n v="4"/>
    <n v="4"/>
    <n v="0"/>
    <n v="1"/>
    <n v="3"/>
    <n v="2"/>
    <n v="1"/>
    <n v="1"/>
    <n v="0"/>
    <n v="1"/>
  </r>
  <r>
    <m/>
    <x v="16"/>
    <s v="Cheryl Carter"/>
    <m/>
    <n v="0"/>
    <n v="0"/>
    <n v="0"/>
    <n v="0"/>
    <n v="0"/>
    <n v="0"/>
    <n v="1"/>
    <n v="1"/>
    <n v="0"/>
    <n v="0"/>
  </r>
  <r>
    <n v="32"/>
    <x v="17"/>
    <s v="Ana Torres"/>
    <n v="4755"/>
    <n v="3"/>
    <n v="5"/>
    <n v="2"/>
    <n v="2"/>
    <n v="3"/>
    <n v="1"/>
    <n v="1"/>
    <n v="1"/>
    <n v="0"/>
    <n v="0"/>
  </r>
  <r>
    <n v="3"/>
    <x v="18"/>
    <s v="Chandra Willis-Thompson"/>
    <n v="4462"/>
    <n v="5"/>
    <n v="5"/>
    <n v="0"/>
    <n v="2"/>
    <n v="3"/>
    <n v="1"/>
    <n v="1"/>
    <n v="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A55E4C-688C-45D3-9D81-B193BE825835}" name="Vacancies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outline="1" outlineData="1" rowHeaderCaption="Clinic">
  <location ref="C12:G19" firstHeaderRow="0" firstDataRow="1" firstDataCol="1"/>
  <pivotFields count="14">
    <pivotField showAll="0"/>
    <pivotField axis="axisRow" showAll="0" measureFilter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</pivotFields>
  <rowFields count="1">
    <field x="1"/>
  </rowFields>
  <rowItems count="7">
    <i>
      <x v="4"/>
    </i>
    <i>
      <x v="5"/>
    </i>
    <i>
      <x v="7"/>
    </i>
    <i>
      <x v="9"/>
    </i>
    <i>
      <x v="10"/>
    </i>
    <i>
      <x v="14"/>
    </i>
    <i>
      <x v="15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lerks" fld="6" baseField="0" baseItem="0"/>
    <dataField name="Certifiers" fld="9" baseField="0" baseItem="0"/>
    <dataField name="Supervisors" fld="12" baseField="0" baseItem="0"/>
    <dataField name="Sum of &quot;needy&quot;" fld="13" baseField="0" baseItem="0"/>
  </dataFields>
  <formats count="11"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1" type="button" dataOnly="0" labelOnly="1" outline="0" axis="axisRow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field="1" type="button" dataOnly="0" labelOnly="1" outline="0" axis="axisRow" fieldPosition="0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field="1" type="button" dataOnly="0" labelOnly="1" outline="0" axis="axisRow" fieldPosition="0"/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6">
      <pivotArea dataOnly="0" labelOnly="1" fieldPosition="0">
        <references count="1">
          <reference field="1" count="10">
            <x v="0"/>
            <x v="2"/>
            <x v="4"/>
            <x v="5"/>
            <x v="7"/>
            <x v="9"/>
            <x v="10"/>
            <x v="12"/>
            <x v="14"/>
            <x v="15"/>
          </reference>
        </references>
      </pivotArea>
    </format>
  </formats>
  <conditionalFormats count="3">
    <conditionalFormat scope="field" priority="1">
      <pivotAreas count="1">
        <pivotArea outline="0" collapsedLevelsAreSubtotals="1" fieldPosition="0">
          <references count="2">
            <reference field="4294967294" count="1" selected="0">
              <x v="1"/>
            </reference>
            <reference field="1" count="0" selected="0"/>
          </references>
        </pivotArea>
      </pivotAreas>
    </conditionalFormat>
    <conditionalFormat scope="field" priority="2">
      <pivotAreas count="1">
        <pivotArea outline="0" collapsedLevelsAreSubtotals="1" fieldPosition="0">
          <references count="2">
            <reference field="4294967294" count="1" selected="0">
              <x v="0"/>
            </reference>
            <reference field="1" count="0" selected="0"/>
          </references>
        </pivotArea>
      </pivotAreas>
    </conditionalFormat>
    <conditionalFormat scope="field" priority="3">
      <pivotAreas count="1">
        <pivotArea outline="0" collapsedLevelsAreSubtotals="1" fieldPosition="0">
          <references count="2">
            <reference field="4294967294" count="1" selected="0">
              <x v="2"/>
            </reference>
            <reference field="1" count="0" selected="0"/>
          </references>
        </pivotArea>
      </pivotAreas>
    </conditionalFormat>
  </conditionalFormats>
  <pivotTableStyleInfo name="PivotStyleLight16" showRowHeaders="0" showColHeaders="0" showRowStripes="0" showColStripes="0" showLastColumn="1"/>
  <filters count="1">
    <filter fld="1" type="valueEqual" evalOrder="-1" id="2" iMeasureFld="3">
      <autoFilter ref="A1">
        <filterColumn colId="0">
          <customFilters>
            <customFilter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3683B6-467F-435D-A5C6-37F6C63E3016}" name="Staff" displayName="Staff" ref="A1:O210" totalsRowShown="0">
  <autoFilter ref="A1:O210" xr:uid="{6C3683B6-467F-435D-A5C6-37F6C63E3016}"/>
  <tableColumns count="15">
    <tableColumn id="1" xr3:uid="{358AA353-26F1-4C90-AF3C-EBF4D265F1B9}" name="Site" dataDxfId="35">
      <calculatedColumnFormula>_xlfn.IFNA(INDEX(Clinics[Site],MATCH(Staff[[#This Row],[Location]],Clinics[Location],0)),"")</calculatedColumnFormula>
    </tableColumn>
    <tableColumn id="2" xr3:uid="{43B51716-1639-4EA9-B133-04ED8002A369}" name="Location"/>
    <tableColumn id="5" xr3:uid="{8713E791-C213-4EDE-AE0A-17E4F70E0383}" name="Employee name"/>
    <tableColumn id="4" xr3:uid="{0D7E76FD-F3D1-4422-A259-7AF669E7B3B5}" name="Position"/>
    <tableColumn id="6" xr3:uid="{5A61FD9A-063F-47A5-AD3D-6F3AA9A8ECF4}" name="Vacant" dataDxfId="34">
      <calculatedColumnFormula>IF(Staff[[#This Row],[Employee name]]="",TRUE,"")</calculatedColumnFormula>
    </tableColumn>
    <tableColumn id="3" xr3:uid="{3B1697E6-806D-48CE-BA6E-09DB5C690F47}" name="In training" dataDxfId="33"/>
    <tableColumn id="7" xr3:uid="{9D7E67FF-7ADF-49BA-91FD-53D727F814EB}" name="WCS trainee"/>
    <tableColumn id="13" xr3:uid="{A6A05B6C-1C86-4D7D-8FFD-F63B7913FCAC}" name="BFPC"/>
    <tableColumn id="11" xr3:uid="{A1E3D78B-31A7-4D9A-8A60-6BB895BB8BD3}" name="IBCLC"/>
    <tableColumn id="14" xr3:uid="{01795D91-73BB-49AD-9499-7BC8A127D8C1}" name="RD"/>
    <tableColumn id="10" xr3:uid="{F2391092-36D8-4364-BA02-BC5566D6D254}" name="Part-time"/>
    <tableColumn id="12" xr3:uid="{D7A86988-B551-4C51-A0B4-4BC526FBC616}" name="Temp"/>
    <tableColumn id="8" xr3:uid="{112C2F8E-6C9D-4530-A121-0DAFC84CB483}" name="Interim"/>
    <tableColumn id="16" xr3:uid="{FF04F937-AD15-4922-B0AA-9763902D0B91}" name="On leave"/>
    <tableColumn id="9" xr3:uid="{B61BBA6C-8693-453D-B2D6-73B933A9C1D9}" name="Submiss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04156C-A9C6-409F-B049-CEF076AE4C76}" name="Clinics" displayName="Clinics" ref="A3:N23" totalsRowCount="1">
  <autoFilter ref="A3:N22" xr:uid="{0D04156C-A9C6-409F-B049-CEF076AE4C76}"/>
  <sortState xmlns:xlrd2="http://schemas.microsoft.com/office/spreadsheetml/2017/richdata2" ref="A4:D22">
    <sortCondition ref="B3:B22"/>
  </sortState>
  <tableColumns count="14">
    <tableColumn id="2" xr3:uid="{E915EE96-485A-4816-B33A-1D64FAD3DF5D}" name="Site" totalsRowLabel="Total" dataDxfId="23" totalsRowDxfId="22"/>
    <tableColumn id="1" xr3:uid="{BA5B390E-8875-4979-95C2-CF2858B4AFCF}" name="Location"/>
    <tableColumn id="5" xr3:uid="{15320016-6349-4EE0-AFC8-35D260884494}" name="Manager" dataDxfId="21"/>
    <tableColumn id="3" xr3:uid="{EF51FE34-5C51-4299-A660-57AB0CCF2CF2}" name="Participants" totalsRowFunction="custom" dataDxfId="20">
      <totalsRowFormula>SUM(Clinics[Participants])</totalsRowFormula>
    </tableColumn>
    <tableColumn id="4" xr3:uid="{A6E833F2-AEDC-444A-BD52-8A5E85551E30}" name="actual (clerk)" totalsRowFunction="custom" dataDxfId="19" totalsRowDxfId="18">
      <calculatedColumnFormula array="1">SUM((Staff[Location]=Clinics[[#This Row],[Location]])*(ISNUMBER(MATCH(Staff[Position], Roles[Clerk], 0)))*(Staff[Vacant]&lt;&gt;TRUE)*(Staff[On leave]&lt;&gt;TRUE)*(Staff[Temp]&lt;&gt;TRUE))</calculatedColumnFormula>
      <totalsRowFormula>SUM(Clinics[actual (clerk)])</totalsRowFormula>
    </tableColumn>
    <tableColumn id="9" xr3:uid="{5526158C-260B-464F-BDE4-1DB7725B0B70}" name="target (clerk)" totalsRowFunction="custom" dataDxfId="17" totalsRowDxfId="16">
      <calculatedColumnFormula>ROUNDUP((1/1000)*Clinics[[#This Row],[Participants]],0)</calculatedColumnFormula>
      <totalsRowFormula>SUM(Clinics[target (clerk)])</totalsRowFormula>
    </tableColumn>
    <tableColumn id="8" xr3:uid="{C8154BA5-E0F2-4CD4-B519-DC3D98E3954E}" name="vacant (clerk)" totalsRowFunction="custom" dataDxfId="15" totalsRowDxfId="14">
      <calculatedColumnFormula>Clinics[[#This Row],[target (clerk)]]-Clinics[[#This Row],[actual (clerk)]]</calculatedColumnFormula>
      <totalsRowFormula array="1">SUM(Clinics[vacant (clerk)]*(Clinics[vacant (clerk)]&gt;=0))</totalsRowFormula>
    </tableColumn>
    <tableColumn id="6" xr3:uid="{B33FD33D-35FD-40D1-868A-54C0E94D78C0}" name="actual (cert)" totalsRowFunction="custom" dataDxfId="13" totalsRowDxfId="12">
      <calculatedColumnFormula array="1">SUM((Staff[Location]=Clinics[[#This Row],[Location]])*(ISNUMBER(MATCH(Staff[Position], Roles[Certifier], 0)))*(Staff[Vacant]&lt;&gt;TRUE)*(Staff[On leave]&lt;&gt;TRUE)*(Staff[Temp]&lt;&gt;TRUE))</calculatedColumnFormula>
      <totalsRowFormula>SUM(Clinics[actual (cert)])</totalsRowFormula>
    </tableColumn>
    <tableColumn id="10" xr3:uid="{76D495F9-D685-4678-8E98-467514148B21}" name="target (cert)" totalsRowFunction="custom" dataDxfId="11" totalsRowDxfId="10">
      <calculatedColumnFormula>ROUNDUP((1/1800)*Clinics[[#This Row],[Participants]],0)</calculatedColumnFormula>
      <totalsRowFormula>SUM(Clinics[target (cert)])</totalsRowFormula>
    </tableColumn>
    <tableColumn id="11" xr3:uid="{13867F08-2045-46D6-807E-0173CC7BCFA2}" name="vacant (cert)" totalsRowFunction="custom" dataDxfId="9" totalsRowDxfId="8">
      <calculatedColumnFormula>Clinics[[#This Row],[target (cert)]]-Clinics[[#This Row],[actual (cert)]]</calculatedColumnFormula>
      <totalsRowFormula array="1">SUM(Clinics[vacant (cert)]*(Clinics[vacant (cert)]&gt;=0))</totalsRowFormula>
    </tableColumn>
    <tableColumn id="7" xr3:uid="{79A6C931-E506-41C0-97A6-0274785FF869}" name="actual (super)" totalsRowFunction="custom" dataDxfId="7" totalsRowDxfId="6">
      <calculatedColumnFormula array="1">SUM((Staff[Location]=Clinics[[#This Row],[Location]])*(ISNUMBER(MATCH(Staff[Position], Roles[Supervisor], 0)))*(Staff[Vacant]&lt;&gt;TRUE)*(Staff[On leave]&lt;&gt;TRUE)*(Staff[Temp]&lt;&gt;TRUE))</calculatedColumnFormula>
      <totalsRowFormula>SUM(Clinics[actual (super)])</totalsRowFormula>
    </tableColumn>
    <tableColumn id="12" xr3:uid="{B42A7AAE-15EC-4C71-958A-46BB211590DE}" name="target (super)" totalsRowFunction="custom" dataDxfId="5" totalsRowDxfId="4">
      <calculatedColumnFormula>IF(ROUNDUP((1/2500)*Clinics[[#This Row],[Participants]]-1,0)&gt;=0,ROUNDUP((1/2500)*Clinics[[#This Row],[Participants]]-1,0),0)</calculatedColumnFormula>
      <totalsRowFormula>SUM(Clinics[target (super)])</totalsRowFormula>
    </tableColumn>
    <tableColumn id="13" xr3:uid="{2EC865B0-FC43-4268-899E-4EE461C3C963}" name="vacant (super)" totalsRowFunction="custom" dataDxfId="3" totalsRowDxfId="2">
      <calculatedColumnFormula>Clinics[[#This Row],[target (super)]]-Clinics[[#This Row],[actual (super)]]</calculatedColumnFormula>
      <totalsRowFormula array="1">SUM(Clinics[vacant (super)]*(Clinics[vacant (super)]&gt;=0))</totalsRowFormula>
    </tableColumn>
    <tableColumn id="14" xr3:uid="{69909AC0-CE8D-4A50-9261-88BCA09FC32A}" name="&quot;needy&quot;" dataDxfId="1" totalsRowDxfId="0">
      <calculatedColumnFormula>IF(OR(Clinics[[#This Row],[vacant (clerk)]]&gt;=3,Clinics[[#This Row],[vacant (cert)]]&gt;=2,Clinics[[#This Row],[vacant (super)]]&gt;=2),1,0)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3C24085-3672-4269-99A0-6F1EC0B5B8A4}" name="Piecewise" displayName="Piecewise" ref="Q2:T12" totalsRowShown="0">
  <autoFilter ref="Q2:T12" xr:uid="{B3C24085-3672-4269-99A0-6F1EC0B5B8A4}"/>
  <tableColumns count="4">
    <tableColumn id="1" xr3:uid="{7C51B42B-13A9-489C-99FD-7F5C11F7418B}" name="Participation"/>
    <tableColumn id="2" xr3:uid="{B6F540A7-8324-4F1E-A969-5F3FAC1A756F}" name="Clerk"/>
    <tableColumn id="3" xr3:uid="{9B490A41-2E75-40DF-989E-40D335DB0D28}" name="CAs (3:2 WCS:Nutri)"/>
    <tableColumn id="4" xr3:uid="{04F6F287-65D5-4A08-939A-F1C2C35C9146}" name="Supervisors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51A59FC-2A99-40AA-B878-CFC80333B0E3}" name="Linreg" displayName="Linreg" ref="Q15:T25" totalsRowShown="0">
  <autoFilter ref="Q15:T25" xr:uid="{F51A59FC-2A99-40AA-B878-CFC80333B0E3}"/>
  <tableColumns count="4">
    <tableColumn id="1" xr3:uid="{216558AC-D413-4CC8-8308-670ECC469F10}" name="Participation"/>
    <tableColumn id="2" xr3:uid="{7BB92140-B2C7-4142-9412-6005889C445F}" name="Clerk">
      <calculatedColumnFormula>(1/1000)*Linreg[[#This Row],[Participation]]</calculatedColumnFormula>
    </tableColumn>
    <tableColumn id="3" xr3:uid="{5320D316-0711-42A2-B57B-66F99EAC142C}" name="CAs (3:2 WCS:Nutri)" dataDxfId="31">
      <calculatedColumnFormula>ROUNDUP((1/1800)*Linreg[[#This Row],[Participation]],0)</calculatedColumnFormula>
    </tableColumn>
    <tableColumn id="4" xr3:uid="{71E8E349-1F32-4CF1-BE29-D2C1B26DEFDB}" name="Supervisors" dataDxfId="30">
      <calculatedColumnFormula>IF(ROUNDUP((1/2500)*Linreg[[#This Row],[Participation]]-1,0)&gt;=0,ROUNDUP((1/2500)*Linreg[[#This Row],[Participation]]-1,0),0)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BD8F7E-8D7A-4C10-A205-45B210B625D4}" name="Ratios" displayName="Ratios" ref="A3:G19" totalsRowShown="0">
  <autoFilter ref="A3:G19" xr:uid="{8FBD8F7E-8D7A-4C10-A205-45B210B625D4}"/>
  <sortState xmlns:xlrd2="http://schemas.microsoft.com/office/spreadsheetml/2017/richdata2" ref="A4:G19">
    <sortCondition ref="A3:A19"/>
  </sortState>
  <tableColumns count="7">
    <tableColumn id="2" xr3:uid="{4FB9B824-91A8-4B03-8A89-D307FE633DB0}" name="Site" dataDxfId="29"/>
    <tableColumn id="1" xr3:uid="{58C08DB8-374F-4FA6-976C-B670D977DAB2}" name="Location"/>
    <tableColumn id="5" xr3:uid="{0BF9ADC8-2340-4A34-815F-565FD537DA63}" name="Manager" dataDxfId="28"/>
    <tableColumn id="8" xr3:uid="{58AF6476-6C5B-4609-809E-1CAEA20CA66E}" name="Participants (p)" dataDxfId="27">
      <calculatedColumnFormula array="1">SUM((Clinics[Location]=Ratios[[#This Row],[Location]])*(Clinics[Participants]))</calculatedColumnFormula>
    </tableColumn>
    <tableColumn id="3" xr3:uid="{20D041ED-E329-43D5-A2D2-36185C61B93C}" name="Clerk ratio" dataDxfId="26">
      <calculatedColumnFormula array="1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calculatedColumnFormula>
    </tableColumn>
    <tableColumn id="4" xr3:uid="{C2E46215-67D0-4C5A-A81B-609B3549B919}" name="Cert. ratio" dataDxfId="25">
      <calculatedColumnFormula array="1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calculatedColumnFormula>
    </tableColumn>
    <tableColumn id="7" xr3:uid="{60420E43-3C35-480C-8434-7520513BEE24}" name="Sup. ratio -2500" dataDxfId="24">
      <calculatedColumnFormula array="1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5EC2E7-3C74-4855-9FB9-89207CF20D1B}" name="Roles" displayName="Roles" ref="D1:F7" totalsRowShown="0">
  <autoFilter ref="D1:F7" xr:uid="{245EC2E7-3C74-4855-9FB9-89207CF20D1B}"/>
  <tableColumns count="3">
    <tableColumn id="1" xr3:uid="{E2C9B485-5BC6-4611-8D50-0C19E71BE950}" name="Clerk"/>
    <tableColumn id="2" xr3:uid="{949CCC11-0285-4291-98AF-66CC663AB10A}" name="Certifier"/>
    <tableColumn id="3" xr3:uid="{95030981-41D2-4A8F-8870-B5930CCCBFE2}" name="Supervisor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C8D0A8D-793E-47E4-A4A5-B45F3F0A0384}" name="Positions" displayName="Positions" ref="A1:B23" totalsRowShown="0">
  <autoFilter ref="A1:B23" xr:uid="{DC8D0A8D-793E-47E4-A4A5-B45F3F0A0384}"/>
  <sortState xmlns:xlrd2="http://schemas.microsoft.com/office/spreadsheetml/2017/richdata2" ref="A2:B22">
    <sortCondition ref="A1:A22"/>
  </sortState>
  <tableColumns count="2">
    <tableColumn id="1" xr3:uid="{E649A9D8-968B-4223-B37D-7857A0CABC5C}" name="Position"/>
    <tableColumn id="2" xr3:uid="{DA2C1EA6-F63E-4608-8AEF-303D5C32C334}" name="note"/>
  </tableColumns>
  <tableStyleInfo name="TableStyleLight11"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D11DBB2-91AA-4EC6-A824-CFA193107988}" name="Positions7" displayName="Positions7" ref="H1:I24" totalsRowShown="0">
  <autoFilter ref="H1:I24" xr:uid="{1D11DBB2-91AA-4EC6-A824-CFA193107988}"/>
  <tableColumns count="2">
    <tableColumn id="1" xr3:uid="{6B78CEF3-6BF0-4A89-BB10-6B9655003D51}" name="Old list of positions"/>
    <tableColumn id="2" xr3:uid="{97BF4C4D-FA17-40AA-BBA7-E2D0ADBEEFAF}" name="not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73D24-E8FA-48DF-B4EA-356C0FDF7DDF}">
  <sheetPr codeName="Sheet1"/>
  <dimension ref="A1:N40"/>
  <sheetViews>
    <sheetView showGridLines="0" topLeftCell="A3" workbookViewId="0">
      <selection activeCell="E4" sqref="E4"/>
    </sheetView>
  </sheetViews>
  <sheetFormatPr defaultRowHeight="17.399999999999999" x14ac:dyDescent="0.6"/>
  <cols>
    <col min="1" max="1" width="7.21875" style="35" customWidth="1"/>
    <col min="2" max="2" width="6.77734375" style="35" customWidth="1"/>
    <col min="3" max="3" width="19.88671875" style="35" customWidth="1"/>
    <col min="4" max="4" width="2.33203125" style="35" customWidth="1"/>
    <col min="5" max="5" width="31.109375" style="35" customWidth="1"/>
    <col min="6" max="6" width="2.33203125" style="35" customWidth="1"/>
    <col min="7" max="7" width="20.77734375" style="35" customWidth="1"/>
    <col min="8" max="8" width="2.33203125" style="35" customWidth="1"/>
    <col min="9" max="9" width="20.77734375" style="35" customWidth="1"/>
    <col min="10" max="10" width="2.33203125" style="35" customWidth="1"/>
    <col min="11" max="11" width="20.77734375" style="35" customWidth="1"/>
    <col min="12" max="12" width="2.33203125" style="35" customWidth="1"/>
    <col min="13" max="13" width="2.44140625" style="35" customWidth="1"/>
    <col min="14" max="14" width="3.21875" style="35" customWidth="1"/>
    <col min="15" max="16384" width="8.88671875" style="35"/>
  </cols>
  <sheetData>
    <row r="1" spans="1:14" s="4" customFormat="1" ht="19.8" x14ac:dyDescent="0.7"/>
    <row r="2" spans="1:14" s="4" customFormat="1" ht="19.8" customHeight="1" x14ac:dyDescent="0.85">
      <c r="B2" s="53" t="s">
        <v>110</v>
      </c>
      <c r="M2" s="42" t="s">
        <v>306</v>
      </c>
      <c r="N2" s="35"/>
    </row>
    <row r="3" spans="1:14" s="4" customFormat="1" ht="19.2" customHeight="1" x14ac:dyDescent="0.7">
      <c r="G3" s="54" t="s">
        <v>111</v>
      </c>
      <c r="H3" s="54" t="s">
        <v>112</v>
      </c>
      <c r="I3" s="54"/>
      <c r="J3" s="54"/>
      <c r="M3" s="35"/>
      <c r="N3" s="35" t="s">
        <v>300</v>
      </c>
    </row>
    <row r="4" spans="1:14" s="51" customFormat="1" ht="27.6" customHeight="1" x14ac:dyDescent="0.25">
      <c r="C4" s="51" t="s">
        <v>81</v>
      </c>
      <c r="E4" s="55" t="s">
        <v>14</v>
      </c>
      <c r="M4" s="50"/>
      <c r="N4" s="52" t="s">
        <v>102</v>
      </c>
    </row>
    <row r="5" spans="1:14" s="51" customFormat="1" ht="27.6" customHeight="1" x14ac:dyDescent="0.6">
      <c r="A5" s="48"/>
      <c r="B5" s="48"/>
      <c r="C5" s="48"/>
      <c r="D5" s="48"/>
      <c r="E5" s="49" t="s">
        <v>297</v>
      </c>
      <c r="F5" s="48"/>
      <c r="G5" s="48"/>
      <c r="H5" s="57"/>
      <c r="I5" s="48"/>
      <c r="J5" s="48"/>
      <c r="K5" s="48"/>
      <c r="L5" s="48"/>
      <c r="M5" s="50"/>
      <c r="N5" s="35" t="s">
        <v>114</v>
      </c>
    </row>
    <row r="6" spans="1:14" s="4" customFormat="1" ht="19.8" x14ac:dyDescent="0.7">
      <c r="A6" s="43"/>
      <c r="B6" s="46" t="s">
        <v>113</v>
      </c>
      <c r="C6" s="47" t="s">
        <v>14</v>
      </c>
      <c r="D6" s="43"/>
      <c r="E6" s="56">
        <v>4755</v>
      </c>
      <c r="F6" s="43"/>
      <c r="G6" s="44" t="s">
        <v>308</v>
      </c>
      <c r="H6" s="45"/>
      <c r="I6" s="43"/>
      <c r="J6" s="43"/>
      <c r="K6" s="43"/>
      <c r="L6" s="43"/>
      <c r="M6" s="35"/>
      <c r="N6" s="35" t="s">
        <v>307</v>
      </c>
    </row>
    <row r="7" spans="1:14" s="4" customFormat="1" ht="20.399999999999999" x14ac:dyDescent="0.7">
      <c r="B7" s="39"/>
      <c r="C7" s="40"/>
      <c r="E7" s="41" t="s">
        <v>298</v>
      </c>
      <c r="G7" s="41" t="s">
        <v>109</v>
      </c>
      <c r="I7" s="41" t="s">
        <v>109</v>
      </c>
      <c r="K7" s="41" t="s">
        <v>109</v>
      </c>
      <c r="M7" s="35"/>
      <c r="N7" s="35" t="s">
        <v>301</v>
      </c>
    </row>
    <row r="8" spans="1:14" s="42" customFormat="1" x14ac:dyDescent="0.6">
      <c r="C8" s="42" t="s">
        <v>70</v>
      </c>
      <c r="E8" s="42" t="s">
        <v>6</v>
      </c>
      <c r="G8" s="42" t="s">
        <v>106</v>
      </c>
      <c r="I8" s="42" t="s">
        <v>107</v>
      </c>
      <c r="K8" s="42" t="s">
        <v>108</v>
      </c>
      <c r="N8" s="35" t="s">
        <v>302</v>
      </c>
    </row>
    <row r="9" spans="1:14" x14ac:dyDescent="0.6">
      <c r="C9" s="33" t="s">
        <v>32</v>
      </c>
      <c r="D9" s="37"/>
      <c r="E9" s="33" t="s">
        <v>118</v>
      </c>
      <c r="F9" s="37"/>
      <c r="G9" s="33"/>
      <c r="H9" s="37"/>
      <c r="I9" s="33"/>
      <c r="J9" s="37"/>
      <c r="K9" s="33" t="s">
        <v>151</v>
      </c>
      <c r="L9" s="36"/>
      <c r="N9" s="35" t="s">
        <v>303</v>
      </c>
    </row>
    <row r="10" spans="1:14" x14ac:dyDescent="0.6">
      <c r="C10" s="34" t="s">
        <v>34</v>
      </c>
      <c r="D10" s="38"/>
      <c r="E10" s="34" t="s">
        <v>152</v>
      </c>
      <c r="F10" s="38"/>
      <c r="G10" s="34"/>
      <c r="H10" s="38"/>
      <c r="I10" s="34"/>
      <c r="J10" s="38"/>
      <c r="K10" s="34"/>
      <c r="L10" s="36"/>
      <c r="N10" s="35" t="s">
        <v>304</v>
      </c>
    </row>
    <row r="11" spans="1:14" x14ac:dyDescent="0.6">
      <c r="C11" s="33" t="s">
        <v>2</v>
      </c>
      <c r="D11" s="37"/>
      <c r="E11" s="33" t="s">
        <v>153</v>
      </c>
      <c r="F11" s="37"/>
      <c r="G11" s="33"/>
      <c r="H11" s="37"/>
      <c r="I11" s="33"/>
      <c r="J11" s="37"/>
      <c r="K11" s="33"/>
      <c r="L11" s="36"/>
      <c r="N11" s="35" t="s">
        <v>305</v>
      </c>
    </row>
    <row r="12" spans="1:14" x14ac:dyDescent="0.6">
      <c r="C12" s="34" t="s">
        <v>122</v>
      </c>
      <c r="D12" s="38"/>
      <c r="E12" s="34"/>
      <c r="F12" s="38"/>
      <c r="G12" s="34"/>
      <c r="H12" s="38"/>
      <c r="I12" s="34"/>
      <c r="J12" s="38"/>
      <c r="K12" s="34"/>
      <c r="L12" s="36"/>
    </row>
    <row r="13" spans="1:14" x14ac:dyDescent="0.6">
      <c r="C13" s="33" t="s">
        <v>4</v>
      </c>
      <c r="D13" s="37"/>
      <c r="E13" s="33" t="s">
        <v>154</v>
      </c>
      <c r="F13" s="37"/>
      <c r="G13" s="33"/>
      <c r="H13" s="37"/>
      <c r="I13" s="33"/>
      <c r="J13" s="37"/>
      <c r="K13" s="33"/>
      <c r="L13" s="36"/>
    </row>
    <row r="14" spans="1:14" x14ac:dyDescent="0.6">
      <c r="C14" s="34" t="s">
        <v>4</v>
      </c>
      <c r="D14" s="38"/>
      <c r="E14" s="34" t="s">
        <v>155</v>
      </c>
      <c r="F14" s="38"/>
      <c r="G14" s="34"/>
      <c r="H14" s="38"/>
      <c r="I14" s="34"/>
      <c r="J14" s="38"/>
      <c r="K14" s="34" t="s">
        <v>36</v>
      </c>
      <c r="L14" s="36"/>
    </row>
    <row r="15" spans="1:14" x14ac:dyDescent="0.6">
      <c r="C15" s="33" t="s">
        <v>33</v>
      </c>
      <c r="D15" s="37"/>
      <c r="E15" s="33" t="s">
        <v>156</v>
      </c>
      <c r="F15" s="37"/>
      <c r="G15" s="33"/>
      <c r="H15" s="37"/>
      <c r="I15" s="33"/>
      <c r="J15" s="37"/>
      <c r="K15" s="33"/>
      <c r="L15" s="36"/>
    </row>
    <row r="16" spans="1:14" x14ac:dyDescent="0.6">
      <c r="C16" s="34" t="s">
        <v>124</v>
      </c>
      <c r="D16" s="38"/>
      <c r="E16" s="34"/>
      <c r="F16" s="38"/>
      <c r="G16" s="34"/>
      <c r="H16" s="38"/>
      <c r="I16" s="34"/>
      <c r="J16" s="38"/>
      <c r="K16" s="34"/>
      <c r="L16" s="36"/>
    </row>
    <row r="17" spans="3:12" x14ac:dyDescent="0.6">
      <c r="C17" s="33" t="s">
        <v>124</v>
      </c>
      <c r="D17" s="37"/>
      <c r="E17" s="33"/>
      <c r="F17" s="37"/>
      <c r="G17" s="33"/>
      <c r="H17" s="37"/>
      <c r="I17" s="33"/>
      <c r="J17" s="37"/>
      <c r="K17" s="33"/>
      <c r="L17" s="36"/>
    </row>
    <row r="18" spans="3:12" x14ac:dyDescent="0.6">
      <c r="C18" s="34" t="s">
        <v>124</v>
      </c>
      <c r="D18" s="38"/>
      <c r="E18" s="34" t="s">
        <v>157</v>
      </c>
      <c r="F18" s="38"/>
      <c r="G18" s="34" t="s">
        <v>68</v>
      </c>
      <c r="H18" s="38"/>
      <c r="I18" s="34" t="s">
        <v>105</v>
      </c>
      <c r="J18" s="38"/>
      <c r="K18" s="34"/>
      <c r="L18" s="36"/>
    </row>
    <row r="19" spans="3:12" x14ac:dyDescent="0.6">
      <c r="C19" s="33" t="s">
        <v>124</v>
      </c>
      <c r="D19" s="37"/>
      <c r="E19" s="33" t="s">
        <v>158</v>
      </c>
      <c r="F19" s="37"/>
      <c r="G19" s="33" t="s">
        <v>68</v>
      </c>
      <c r="H19" s="37"/>
      <c r="I19" s="33" t="s">
        <v>105</v>
      </c>
      <c r="J19" s="37"/>
      <c r="K19" s="33"/>
      <c r="L19" s="36"/>
    </row>
    <row r="20" spans="3:12" x14ac:dyDescent="0.6">
      <c r="C20" s="34" t="s">
        <v>34</v>
      </c>
      <c r="D20" s="38"/>
      <c r="E20" s="34" t="s">
        <v>150</v>
      </c>
      <c r="F20" s="38"/>
      <c r="G20" s="34" t="s">
        <v>68</v>
      </c>
      <c r="H20" s="38"/>
      <c r="I20" s="34" t="s">
        <v>105</v>
      </c>
      <c r="J20" s="38"/>
      <c r="K20" s="34"/>
      <c r="L20" s="36"/>
    </row>
    <row r="21" spans="3:12" x14ac:dyDescent="0.6">
      <c r="C21" s="33"/>
      <c r="D21" s="37"/>
      <c r="E21" s="33"/>
      <c r="F21" s="37"/>
      <c r="G21" s="33"/>
      <c r="H21" s="37"/>
      <c r="I21" s="33"/>
      <c r="J21" s="37"/>
      <c r="K21" s="33"/>
      <c r="L21" s="36"/>
    </row>
    <row r="22" spans="3:12" x14ac:dyDescent="0.6">
      <c r="C22" s="34"/>
      <c r="D22" s="38"/>
      <c r="E22" s="34"/>
      <c r="F22" s="38"/>
      <c r="G22" s="34"/>
      <c r="H22" s="38"/>
      <c r="I22" s="34"/>
      <c r="J22" s="38"/>
      <c r="K22" s="34"/>
      <c r="L22" s="36"/>
    </row>
    <row r="23" spans="3:12" x14ac:dyDescent="0.6">
      <c r="C23" s="33"/>
      <c r="D23" s="37"/>
      <c r="E23" s="33"/>
      <c r="F23" s="37"/>
      <c r="G23" s="33"/>
      <c r="H23" s="37"/>
      <c r="I23" s="33"/>
      <c r="J23" s="37"/>
      <c r="K23" s="33"/>
      <c r="L23" s="36"/>
    </row>
    <row r="24" spans="3:12" x14ac:dyDescent="0.6">
      <c r="C24" s="34"/>
      <c r="D24" s="38"/>
      <c r="E24" s="34"/>
      <c r="F24" s="38"/>
      <c r="G24" s="34"/>
      <c r="H24" s="38"/>
      <c r="I24" s="34"/>
      <c r="J24" s="38"/>
      <c r="K24" s="34"/>
      <c r="L24" s="36"/>
    </row>
    <row r="25" spans="3:12" x14ac:dyDescent="0.6">
      <c r="C25" s="33"/>
      <c r="D25" s="37"/>
      <c r="E25" s="33"/>
      <c r="F25" s="37"/>
      <c r="G25" s="33"/>
      <c r="H25" s="37"/>
      <c r="I25" s="33"/>
      <c r="J25" s="37"/>
      <c r="K25" s="33"/>
      <c r="L25" s="36"/>
    </row>
    <row r="26" spans="3:12" x14ac:dyDescent="0.6">
      <c r="C26" s="33"/>
      <c r="D26" s="37"/>
      <c r="E26" s="33"/>
      <c r="F26" s="37"/>
      <c r="G26" s="33"/>
      <c r="H26" s="37"/>
      <c r="I26" s="33"/>
      <c r="J26" s="37"/>
      <c r="K26" s="33"/>
      <c r="L26" s="36"/>
    </row>
    <row r="27" spans="3:12" x14ac:dyDescent="0.6">
      <c r="C27" s="34"/>
      <c r="D27" s="38"/>
      <c r="E27" s="34"/>
      <c r="F27" s="38"/>
      <c r="G27" s="34"/>
      <c r="H27" s="38"/>
      <c r="I27" s="34"/>
      <c r="J27" s="38"/>
      <c r="K27" s="34"/>
      <c r="L27" s="36"/>
    </row>
    <row r="28" spans="3:12" x14ac:dyDescent="0.6">
      <c r="C28" s="33"/>
      <c r="D28" s="37"/>
      <c r="E28" s="33"/>
      <c r="F28" s="37"/>
      <c r="G28" s="33"/>
      <c r="H28" s="37"/>
      <c r="I28" s="33"/>
      <c r="J28" s="37"/>
      <c r="K28" s="33"/>
      <c r="L28" s="36"/>
    </row>
    <row r="29" spans="3:12" x14ac:dyDescent="0.6">
      <c r="C29" s="34"/>
      <c r="D29" s="38"/>
      <c r="E29" s="34"/>
      <c r="F29" s="38"/>
      <c r="G29" s="34"/>
      <c r="H29" s="38"/>
      <c r="I29" s="34"/>
      <c r="J29" s="38"/>
      <c r="K29" s="34"/>
      <c r="L29" s="36"/>
    </row>
    <row r="30" spans="3:12" x14ac:dyDescent="0.6">
      <c r="C30" s="33"/>
      <c r="D30" s="37"/>
      <c r="E30" s="33"/>
      <c r="F30" s="37"/>
      <c r="G30" s="33"/>
      <c r="H30" s="37"/>
      <c r="I30" s="33"/>
      <c r="J30" s="37"/>
      <c r="K30" s="33"/>
      <c r="L30" s="36"/>
    </row>
    <row r="31" spans="3:12" x14ac:dyDescent="0.6">
      <c r="C31" s="34"/>
      <c r="D31" s="38"/>
      <c r="E31" s="34"/>
      <c r="F31" s="38"/>
      <c r="G31" s="34"/>
      <c r="H31" s="38"/>
      <c r="I31" s="34"/>
      <c r="J31" s="38"/>
      <c r="K31" s="34"/>
      <c r="L31" s="36"/>
    </row>
    <row r="32" spans="3:12" x14ac:dyDescent="0.6">
      <c r="C32" s="33"/>
      <c r="D32" s="37"/>
      <c r="E32" s="33"/>
      <c r="F32" s="37"/>
      <c r="G32" s="33"/>
      <c r="H32" s="37"/>
      <c r="I32" s="33"/>
      <c r="J32" s="37"/>
      <c r="K32" s="33"/>
      <c r="L32" s="36"/>
    </row>
    <row r="33" spans="3:12" x14ac:dyDescent="0.6">
      <c r="C33" s="34"/>
      <c r="D33" s="38"/>
      <c r="E33" s="34"/>
      <c r="F33" s="38"/>
      <c r="G33" s="34"/>
      <c r="H33" s="38"/>
      <c r="I33" s="34"/>
      <c r="J33" s="38"/>
      <c r="K33" s="34"/>
      <c r="L33" s="36"/>
    </row>
    <row r="34" spans="3:12" x14ac:dyDescent="0.6">
      <c r="C34" s="33"/>
      <c r="D34" s="37"/>
      <c r="E34" s="33"/>
      <c r="F34" s="37"/>
      <c r="G34" s="33"/>
      <c r="H34" s="37"/>
      <c r="I34" s="33"/>
      <c r="J34" s="37"/>
      <c r="K34" s="33"/>
      <c r="L34" s="36"/>
    </row>
    <row r="35" spans="3:12" x14ac:dyDescent="0.6">
      <c r="C35" s="34"/>
      <c r="D35" s="38"/>
      <c r="E35" s="34"/>
      <c r="F35" s="38"/>
      <c r="G35" s="34"/>
      <c r="H35" s="38"/>
      <c r="I35" s="34"/>
      <c r="J35" s="38"/>
      <c r="K35" s="34"/>
      <c r="L35" s="36"/>
    </row>
    <row r="36" spans="3:12" x14ac:dyDescent="0.6">
      <c r="C36" s="33"/>
      <c r="D36" s="37"/>
      <c r="E36" s="33"/>
      <c r="F36" s="37"/>
      <c r="G36" s="33"/>
      <c r="H36" s="37"/>
      <c r="I36" s="33"/>
      <c r="J36" s="37"/>
      <c r="K36" s="33"/>
      <c r="L36" s="36"/>
    </row>
    <row r="37" spans="3:12" x14ac:dyDescent="0.6">
      <c r="C37" s="34"/>
      <c r="D37" s="38"/>
      <c r="E37" s="34"/>
      <c r="F37" s="38"/>
      <c r="G37" s="34"/>
      <c r="H37" s="38"/>
      <c r="I37" s="34"/>
      <c r="J37" s="38"/>
      <c r="K37" s="34"/>
      <c r="L37" s="36"/>
    </row>
    <row r="38" spans="3:12" x14ac:dyDescent="0.6">
      <c r="C38" s="33"/>
      <c r="D38" s="37"/>
      <c r="E38" s="33"/>
      <c r="F38" s="37"/>
      <c r="G38" s="33"/>
      <c r="H38" s="37"/>
      <c r="I38" s="33"/>
      <c r="J38" s="37"/>
      <c r="K38" s="33"/>
      <c r="L38" s="36"/>
    </row>
    <row r="39" spans="3:12" x14ac:dyDescent="0.6">
      <c r="C39" s="34"/>
      <c r="D39" s="38"/>
      <c r="E39" s="34"/>
      <c r="F39" s="38"/>
      <c r="G39" s="34"/>
      <c r="H39" s="38"/>
      <c r="I39" s="34"/>
      <c r="J39" s="38"/>
      <c r="K39" s="34"/>
      <c r="L39" s="36"/>
    </row>
    <row r="40" spans="3:12" x14ac:dyDescent="0.6">
      <c r="C40" s="33"/>
      <c r="D40" s="37"/>
      <c r="E40" s="33"/>
      <c r="F40" s="37"/>
      <c r="G40" s="33"/>
      <c r="H40" s="37"/>
      <c r="I40" s="33"/>
      <c r="J40" s="37"/>
      <c r="K40" s="33"/>
      <c r="L40" s="36"/>
    </row>
  </sheetData>
  <sheetProtection selectLockedCells="1"/>
  <dataValidations xWindow="541" yWindow="565" count="2">
    <dataValidation errorStyle="information" allowBlank="1" showInputMessage="1" showErrorMessage="1" errorTitle="Yes/no box" error="Enter &quot;Y&quot; or &quot;N&quot; or leave blank" promptTitle="&quot;Y&quot; or &quot;N&quot;" prompt="or leave blank" sqref="L10 L12 L14 L16 L18 L20 L22 L24 L26 L28 L30 L32 L34 L36 L38 L40" xr:uid="{08EAF608-957F-42D6-AC72-20668FEF4666}"/>
    <dataValidation type="list" errorStyle="information" allowBlank="1" showInputMessage="1" showErrorMessage="1" errorTitle="Yes/no box" error="Enter &quot;Y&quot; or &quot;N&quot; or leave blank" promptTitle="&quot;Y&quot; or &quot;N&quot;" prompt="or leave blank" sqref="L9 L39 L11 L13 L15 L17 L19 L21 L23 L25 L27 L29 L31 L33 L35 L37" xr:uid="{AE11A55D-CECB-43CC-9203-218CE0694C8E}">
      <formula1>"Y, N"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SubmitData">
                <anchor moveWithCells="1">
                  <from>
                    <xdr:col>7</xdr:col>
                    <xdr:colOff>60960</xdr:colOff>
                    <xdr:row>3</xdr:row>
                    <xdr:rowOff>22860</xdr:rowOff>
                  </from>
                  <to>
                    <xdr:col>8</xdr:col>
                    <xdr:colOff>1051560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" name="Button 22">
              <controlPr defaultSize="0" print="0" autoFill="0" autoPict="0" macro="[0]!LoadData">
                <anchor moveWithCells="1" sizeWithCells="1">
                  <from>
                    <xdr:col>6</xdr:col>
                    <xdr:colOff>68580</xdr:colOff>
                    <xdr:row>3</xdr:row>
                    <xdr:rowOff>30480</xdr:rowOff>
                  </from>
                  <to>
                    <xdr:col>6</xdr:col>
                    <xdr:colOff>1280160</xdr:colOff>
                    <xdr:row>3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541" yWindow="565" count="5">
        <x14:dataValidation type="list" allowBlank="1" showInputMessage="1" showErrorMessage="1" errorTitle="Pick an employee status" error="Pick an employee status or leave blank" promptTitle="Pick an employee status" prompt="or leave blank" xr:uid="{3D89C788-4E21-4434-AC9E-61F1B7010F52}">
          <x14:formula1>
            <xm:f>Staff!$K$1:$N$1</xm:f>
          </x14:formula1>
          <xm:sqref>G9:G40</xm:sqref>
        </x14:dataValidation>
        <x14:dataValidation type="list" allowBlank="1" showInputMessage="1" showErrorMessage="1" errorTitle="Pick a specialty" error="Pick a specialty or leave blank" promptTitle="Pick a specialty" prompt="or leave blank" xr:uid="{6C08A589-B0A3-44D4-B5D0-A20CA7BF4945}">
          <x14:formula1>
            <xm:f>Staff!$H$1:$J$1</xm:f>
          </x14:formula1>
          <xm:sqref>K9:K40</xm:sqref>
        </x14:dataValidation>
        <x14:dataValidation type="list" allowBlank="1" showInputMessage="1" showErrorMessage="1" errorTitle="Pick a valid training status" error="Pick a valid training status or leave blank" promptTitle="Pick a training status" prompt="or leave blank" xr:uid="{87894A16-E013-4970-8639-8FADA75B30EF}">
          <x14:formula1>
            <xm:f>Staff!$F$1:$G$1</xm:f>
          </x14:formula1>
          <xm:sqref>I9:I40</xm:sqref>
        </x14:dataValidation>
        <x14:dataValidation type="list" allowBlank="1" showInputMessage="1" showErrorMessage="1" errorTitle="Enter a valid position" error="Please select a valid position from the dropdown list" promptTitle="Pick position" prompt="then select options" xr:uid="{52FD04E1-8D8F-4F23-AB1C-6E252AA01F39}">
          <x14:formula1>
            <xm:f>'Roles'!$A$2:$A$23</xm:f>
          </x14:formula1>
          <xm:sqref>C9:C40</xm:sqref>
        </x14:dataValidation>
        <x14:dataValidation type="list" showInputMessage="1" showErrorMessage="1" errorTitle="Enter a location" error="Enter a valid location from the dropdown list before submitting" promptTitle="Pick location" prompt="Select from list" xr:uid="{4FA9884A-1DB4-490B-BB09-890C4D2E765C}">
          <x14:formula1>
            <xm:f>'Clinics'!$B$4:$B$22</xm:f>
          </x14:formula1>
          <xm:sqref>E4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4445-0771-4FFD-AE74-78D617A184A2}">
  <sheetPr codeName="Sheet2"/>
  <dimension ref="B2:H50"/>
  <sheetViews>
    <sheetView showGridLines="0" topLeftCell="A7" zoomScaleNormal="100" workbookViewId="0"/>
  </sheetViews>
  <sheetFormatPr defaultRowHeight="19.8" x14ac:dyDescent="0.25"/>
  <cols>
    <col min="1" max="1" width="5" style="21" customWidth="1"/>
    <col min="2" max="2" width="1.77734375" style="21" customWidth="1"/>
    <col min="3" max="3" width="22.88671875" style="21" bestFit="1" customWidth="1"/>
    <col min="4" max="4" width="6.21875" style="22" bestFit="1" customWidth="1"/>
    <col min="5" max="5" width="8.5546875" style="22" bestFit="1" customWidth="1"/>
    <col min="6" max="6" width="10.77734375" style="21" customWidth="1"/>
    <col min="7" max="7" width="15.5546875" style="21" hidden="1" customWidth="1"/>
    <col min="8" max="16384" width="8.88671875" style="21"/>
  </cols>
  <sheetData>
    <row r="2" spans="2:8" ht="34.799999999999997" x14ac:dyDescent="0.25">
      <c r="B2" s="26" t="str">
        <f xml:space="preserve"> "WIC served a total of " &amp; ROUNDDOWN(Clinics[[#Totals],[Participants]],-3)/1000 &amp; "," &amp; Clinics[[#Totals],[Participants]]-ROUNDDOWN(Clinics[[#Totals],[Participants]],-3) &amp; " people this month."</f>
        <v>WIC served a total of 76,930 people this month.</v>
      </c>
    </row>
    <row r="4" spans="2:8" ht="30" customHeight="1" x14ac:dyDescent="0.25">
      <c r="B4" s="23" t="s">
        <v>291</v>
      </c>
    </row>
    <row r="5" spans="2:8" s="24" customFormat="1" ht="49.95" customHeight="1" x14ac:dyDescent="0.25">
      <c r="C5" s="31" t="str">
        <f>"WIC has " &amp; Clinics[[#Totals],[actual (clerk)]] &amp; " clerks and needs " &amp; Clinics[[#Totals],[vacant (clerk)]] &amp; " more."</f>
        <v>WIC has 80 clerks and needs 15 more.</v>
      </c>
      <c r="D5" s="25"/>
      <c r="E5" s="25"/>
    </row>
    <row r="6" spans="2:8" s="24" customFormat="1" ht="49.95" customHeight="1" x14ac:dyDescent="0.25">
      <c r="C6" s="31" t="str">
        <f>"WIC has " &amp; Clinics[[#Totals],[actual (cert)]] &amp; " certifiers and needs " &amp; Clinics[[#Totals],[vacant (cert)]] &amp; " more."</f>
        <v>WIC has 41 certifiers and needs 14 more.</v>
      </c>
      <c r="D6" s="25"/>
      <c r="E6" s="25"/>
    </row>
    <row r="7" spans="2:8" s="24" customFormat="1" ht="49.95" customHeight="1" x14ac:dyDescent="0.25">
      <c r="C7" s="31" t="str">
        <f>"WIC has " &amp; Clinics[[#Totals],[actual (super)]] &amp; " supervisors on the clinic level and needs " &amp; Clinics[[#Totals],[vacant (super)]] &amp; " more."</f>
        <v>WIC has 22 supervisors on the clinic level and needs 5 more.</v>
      </c>
      <c r="D7" s="25"/>
      <c r="E7" s="25"/>
    </row>
    <row r="8" spans="2:8" s="24" customFormat="1" ht="30" customHeight="1" x14ac:dyDescent="0.25">
      <c r="B8" s="23" t="str">
        <f xml:space="preserve"> "That means WIC is operating at about " &amp; ROUND(100*SUM(Clinics[[#Totals],[actual (clerk)]],Clinics[[#Totals],[actual (cert)]],Clinics[[#Totals],[actual (super)]])/SUM(Clinics[[#Totals],[target (clerk)]],Clinics[[#Totals],[target (cert)]],Clinics[[#Totals],[target (super)]]),0) &amp; "% staffing efficiency."</f>
        <v>That means WIC is operating at about 89% staffing efficiency.</v>
      </c>
      <c r="D8" s="25"/>
      <c r="E8" s="25"/>
    </row>
    <row r="9" spans="2:8" ht="40.799999999999997" customHeight="1" x14ac:dyDescent="0.25">
      <c r="B9" s="23"/>
    </row>
    <row r="10" spans="2:8" ht="26.4" x14ac:dyDescent="0.25">
      <c r="B10" s="23" t="s">
        <v>296</v>
      </c>
    </row>
    <row r="11" spans="2:8" x14ac:dyDescent="0.6">
      <c r="D11" s="58" t="s">
        <v>295</v>
      </c>
      <c r="E11" s="58"/>
      <c r="F11" s="58"/>
      <c r="G11" s="29"/>
      <c r="H11" s="29"/>
    </row>
    <row r="12" spans="2:8" x14ac:dyDescent="0.7">
      <c r="C12" s="27" t="s">
        <v>292</v>
      </c>
      <c r="D12" s="28" t="s">
        <v>278</v>
      </c>
      <c r="E12" s="28" t="s">
        <v>279</v>
      </c>
      <c r="F12" s="28" t="s">
        <v>260</v>
      </c>
      <c r="G12" s="4" t="s">
        <v>294</v>
      </c>
    </row>
    <row r="13" spans="2:8" ht="24" x14ac:dyDescent="0.85">
      <c r="C13" s="30" t="s">
        <v>19</v>
      </c>
      <c r="D13" s="32">
        <v>0</v>
      </c>
      <c r="E13" s="32">
        <v>2</v>
      </c>
      <c r="F13" s="32">
        <v>0</v>
      </c>
      <c r="G13" s="4">
        <v>1</v>
      </c>
    </row>
    <row r="14" spans="2:8" ht="24" x14ac:dyDescent="0.85">
      <c r="C14" s="30" t="s">
        <v>13</v>
      </c>
      <c r="D14" s="32">
        <v>4</v>
      </c>
      <c r="E14" s="32">
        <v>1</v>
      </c>
      <c r="F14" s="32">
        <v>1</v>
      </c>
      <c r="G14" s="4">
        <v>1</v>
      </c>
    </row>
    <row r="15" spans="2:8" ht="24" x14ac:dyDescent="0.85">
      <c r="C15" s="30" t="s">
        <v>21</v>
      </c>
      <c r="D15" s="32">
        <v>3</v>
      </c>
      <c r="E15" s="32">
        <v>-1</v>
      </c>
      <c r="F15" s="32">
        <v>0</v>
      </c>
      <c r="G15" s="4">
        <v>1</v>
      </c>
    </row>
    <row r="16" spans="2:8" ht="24" x14ac:dyDescent="0.85">
      <c r="C16" s="30" t="s">
        <v>22</v>
      </c>
      <c r="D16" s="32">
        <v>3</v>
      </c>
      <c r="E16" s="32">
        <v>1</v>
      </c>
      <c r="F16" s="32">
        <v>1</v>
      </c>
      <c r="G16" s="4">
        <v>1</v>
      </c>
    </row>
    <row r="17" spans="3:7" ht="24" x14ac:dyDescent="0.85">
      <c r="C17" s="30" t="s">
        <v>10</v>
      </c>
      <c r="D17" s="32">
        <v>3</v>
      </c>
      <c r="E17" s="32">
        <v>2</v>
      </c>
      <c r="F17" s="32">
        <v>1</v>
      </c>
      <c r="G17" s="4">
        <v>1</v>
      </c>
    </row>
    <row r="18" spans="3:7" ht="24" x14ac:dyDescent="0.85">
      <c r="C18" s="30" t="s">
        <v>12</v>
      </c>
      <c r="D18" s="32">
        <v>2</v>
      </c>
      <c r="E18" s="32">
        <v>3</v>
      </c>
      <c r="F18" s="32">
        <v>0</v>
      </c>
      <c r="G18" s="4">
        <v>1</v>
      </c>
    </row>
    <row r="19" spans="3:7" ht="24" x14ac:dyDescent="0.85">
      <c r="C19" s="30" t="s">
        <v>23</v>
      </c>
      <c r="D19" s="32">
        <v>0</v>
      </c>
      <c r="E19" s="32">
        <v>2</v>
      </c>
      <c r="F19" s="32">
        <v>0</v>
      </c>
      <c r="G19" s="4">
        <v>1</v>
      </c>
    </row>
    <row r="20" spans="3:7" x14ac:dyDescent="0.25">
      <c r="C20"/>
      <c r="D20"/>
      <c r="E20"/>
      <c r="F20"/>
      <c r="G20"/>
    </row>
    <row r="21" spans="3:7" x14ac:dyDescent="0.25">
      <c r="C21"/>
      <c r="D21"/>
      <c r="E21"/>
      <c r="F21"/>
      <c r="G21"/>
    </row>
    <row r="22" spans="3:7" x14ac:dyDescent="0.25">
      <c r="C22"/>
      <c r="D22"/>
      <c r="E22"/>
      <c r="F22"/>
      <c r="G22"/>
    </row>
    <row r="23" spans="3:7" x14ac:dyDescent="0.25">
      <c r="C23"/>
      <c r="D23"/>
      <c r="E23"/>
      <c r="F23"/>
      <c r="G23"/>
    </row>
    <row r="24" spans="3:7" x14ac:dyDescent="0.25">
      <c r="C24"/>
      <c r="D24"/>
      <c r="E24"/>
      <c r="F24"/>
      <c r="G24"/>
    </row>
    <row r="25" spans="3:7" x14ac:dyDescent="0.25">
      <c r="C25"/>
      <c r="D25"/>
      <c r="E25"/>
      <c r="F25"/>
      <c r="G25"/>
    </row>
    <row r="26" spans="3:7" x14ac:dyDescent="0.25">
      <c r="C26"/>
      <c r="D26"/>
      <c r="E26"/>
      <c r="F26"/>
      <c r="G26"/>
    </row>
    <row r="27" spans="3:7" x14ac:dyDescent="0.25">
      <c r="C27"/>
      <c r="D27"/>
      <c r="E27"/>
      <c r="F27"/>
      <c r="G27"/>
    </row>
    <row r="28" spans="3:7" x14ac:dyDescent="0.25">
      <c r="C28"/>
      <c r="D28"/>
      <c r="E28"/>
      <c r="F28"/>
      <c r="G28"/>
    </row>
    <row r="29" spans="3:7" x14ac:dyDescent="0.25">
      <c r="C29"/>
      <c r="D29"/>
      <c r="E29"/>
      <c r="F29"/>
      <c r="G29"/>
    </row>
    <row r="30" spans="3:7" x14ac:dyDescent="0.25">
      <c r="C30"/>
      <c r="D30"/>
      <c r="E30"/>
      <c r="F30"/>
      <c r="G30"/>
    </row>
    <row r="31" spans="3:7" x14ac:dyDescent="0.25">
      <c r="C31"/>
      <c r="D31"/>
      <c r="E31"/>
      <c r="F31"/>
      <c r="G31"/>
    </row>
    <row r="32" spans="3:7" x14ac:dyDescent="0.7">
      <c r="C32"/>
      <c r="D32"/>
      <c r="E32"/>
      <c r="F32"/>
      <c r="G32" s="4"/>
    </row>
    <row r="33" spans="3:6" x14ac:dyDescent="0.25">
      <c r="C33"/>
      <c r="D33"/>
      <c r="E33"/>
      <c r="F33"/>
    </row>
    <row r="34" spans="3:6" x14ac:dyDescent="0.25">
      <c r="C34"/>
      <c r="D34"/>
      <c r="E34"/>
      <c r="F34"/>
    </row>
    <row r="35" spans="3:6" x14ac:dyDescent="0.25">
      <c r="C35"/>
      <c r="D35"/>
      <c r="E35"/>
      <c r="F35"/>
    </row>
    <row r="36" spans="3:6" x14ac:dyDescent="0.25">
      <c r="C36"/>
      <c r="D36"/>
      <c r="E36"/>
      <c r="F36"/>
    </row>
    <row r="37" spans="3:6" x14ac:dyDescent="0.25">
      <c r="C37"/>
      <c r="D37"/>
      <c r="E37"/>
      <c r="F37"/>
    </row>
    <row r="38" spans="3:6" x14ac:dyDescent="0.25">
      <c r="C38"/>
      <c r="D38"/>
      <c r="E38"/>
      <c r="F38"/>
    </row>
    <row r="39" spans="3:6" x14ac:dyDescent="0.25">
      <c r="C39"/>
      <c r="D39"/>
      <c r="E39"/>
      <c r="F39"/>
    </row>
    <row r="40" spans="3:6" x14ac:dyDescent="0.25">
      <c r="C40"/>
      <c r="D40"/>
      <c r="E40"/>
      <c r="F40"/>
    </row>
    <row r="41" spans="3:6" x14ac:dyDescent="0.25">
      <c r="C41"/>
      <c r="D41"/>
      <c r="E41"/>
      <c r="F41"/>
    </row>
    <row r="42" spans="3:6" x14ac:dyDescent="0.25">
      <c r="C42"/>
      <c r="D42"/>
      <c r="E42"/>
      <c r="F42"/>
    </row>
    <row r="43" spans="3:6" x14ac:dyDescent="0.25">
      <c r="C43"/>
      <c r="D43"/>
      <c r="E43"/>
      <c r="F43"/>
    </row>
    <row r="44" spans="3:6" x14ac:dyDescent="0.25">
      <c r="C44"/>
      <c r="D44"/>
      <c r="E44"/>
      <c r="F44"/>
    </row>
    <row r="45" spans="3:6" x14ac:dyDescent="0.25">
      <c r="C45"/>
      <c r="D45"/>
      <c r="E45"/>
      <c r="F45"/>
    </row>
    <row r="46" spans="3:6" x14ac:dyDescent="0.25">
      <c r="C46"/>
      <c r="D46"/>
      <c r="E46"/>
      <c r="F46"/>
    </row>
    <row r="47" spans="3:6" x14ac:dyDescent="0.25">
      <c r="C47"/>
      <c r="D47"/>
      <c r="E47"/>
      <c r="F47"/>
    </row>
    <row r="48" spans="3:6" x14ac:dyDescent="0.25">
      <c r="C48"/>
      <c r="D48"/>
      <c r="E48"/>
      <c r="F48"/>
    </row>
    <row r="49" spans="3:6" x14ac:dyDescent="0.25">
      <c r="C49"/>
      <c r="D49"/>
      <c r="E49"/>
      <c r="F49"/>
    </row>
    <row r="50" spans="3:6" x14ac:dyDescent="0.25">
      <c r="C50"/>
      <c r="D50"/>
      <c r="E50"/>
      <c r="F50"/>
    </row>
  </sheetData>
  <sheetProtection algorithmName="SHA-512" hashValue="d5zE6OIifCJEITRqr6/fqnHst4iR0LRjt3XBDDllM9UR+X58yzVYjotxcJjFC5+O/bMOn1j8EyikRBmDT8YRWw==" saltValue="H+lz5zp3KykU+ouxBGuZdA==" spinCount="100000" sheet="1" objects="1" scenarios="1" selectLockedCells="1"/>
  <mergeCells count="1">
    <mergeCell ref="D11:F11"/>
  </mergeCells>
  <conditionalFormatting sqref="D22:D44">
    <cfRule type="cellIs" dxfId="52" priority="6" operator="greaterThan">
      <formula>2</formula>
    </cfRule>
  </conditionalFormatting>
  <conditionalFormatting sqref="E22:E37">
    <cfRule type="cellIs" dxfId="51" priority="5" operator="greaterThan">
      <formula>1</formula>
    </cfRule>
  </conditionalFormatting>
  <conditionalFormatting sqref="F22:F44">
    <cfRule type="cellIs" dxfId="50" priority="4" operator="greaterThan">
      <formula>1</formula>
    </cfRule>
  </conditionalFormatting>
  <conditionalFormatting pivot="1" sqref="F13:F19">
    <cfRule type="cellIs" dxfId="49" priority="3" operator="greaterThanOrEqual">
      <formula>2</formula>
    </cfRule>
  </conditionalFormatting>
  <conditionalFormatting pivot="1" sqref="D13:D19">
    <cfRule type="cellIs" dxfId="48" priority="2" operator="greaterThanOrEqual">
      <formula>3</formula>
    </cfRule>
  </conditionalFormatting>
  <conditionalFormatting pivot="1" sqref="E13:E19">
    <cfRule type="cellIs" dxfId="47" priority="1" operator="greaterThanOrEqual">
      <formula>2</formula>
    </cfRule>
  </conditionalFormatting>
  <pageMargins left="0.7" right="0.7" top="0.75" bottom="0.75" header="0.3" footer="0.3"/>
  <pageSetup orientation="portrait" horizontalDpi="1200" verticalDpi="12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A8BAD-E578-48A7-B817-21E82DD3E745}">
  <sheetPr codeName="Sheet3"/>
  <dimension ref="A1:O210"/>
  <sheetViews>
    <sheetView zoomScaleNormal="100" workbookViewId="0">
      <selection activeCell="G1" sqref="G1"/>
    </sheetView>
  </sheetViews>
  <sheetFormatPr defaultRowHeight="13.2" x14ac:dyDescent="0.25"/>
  <cols>
    <col min="1" max="1" width="4.33203125" customWidth="1"/>
    <col min="2" max="2" width="18" customWidth="1"/>
    <col min="3" max="3" width="21" customWidth="1"/>
    <col min="4" max="4" width="17" customWidth="1"/>
    <col min="5" max="5" width="10.109375" customWidth="1"/>
    <col min="6" max="10" width="10.6640625" customWidth="1"/>
    <col min="13" max="14" width="9.33203125" customWidth="1"/>
    <col min="15" max="15" width="16.33203125" customWidth="1"/>
  </cols>
  <sheetData>
    <row r="1" spans="1:15" x14ac:dyDescent="0.25">
      <c r="A1" t="s">
        <v>5</v>
      </c>
      <c r="B1" t="s">
        <v>20</v>
      </c>
      <c r="C1" t="s">
        <v>6</v>
      </c>
      <c r="D1" s="5" t="s">
        <v>70</v>
      </c>
      <c r="E1" t="s">
        <v>7</v>
      </c>
      <c r="F1" t="s">
        <v>105</v>
      </c>
      <c r="G1" s="2" t="s">
        <v>35</v>
      </c>
      <c r="H1" s="2" t="s">
        <v>36</v>
      </c>
      <c r="I1" s="2" t="s">
        <v>3</v>
      </c>
      <c r="J1" s="2" t="s">
        <v>151</v>
      </c>
      <c r="K1" s="2" t="s">
        <v>69</v>
      </c>
      <c r="L1" s="2" t="s">
        <v>68</v>
      </c>
      <c r="M1" t="s">
        <v>8</v>
      </c>
      <c r="N1" t="s">
        <v>168</v>
      </c>
      <c r="O1" s="5" t="s">
        <v>116</v>
      </c>
    </row>
    <row r="2" spans="1:15" x14ac:dyDescent="0.25">
      <c r="A2">
        <f>_xlfn.IFNA(INDEX(Clinics[Site],MATCH(Staff[[#This Row],[Location]],Clinics[Location],0)),"")</f>
        <v>1</v>
      </c>
      <c r="B2" t="s">
        <v>9</v>
      </c>
      <c r="C2" t="s">
        <v>82</v>
      </c>
      <c r="D2" t="s">
        <v>32</v>
      </c>
      <c r="E2" t="str">
        <f>IF(Staff[[#This Row],[Employee name]]="",TRUE,"")</f>
        <v/>
      </c>
    </row>
    <row r="3" spans="1:15" x14ac:dyDescent="0.25">
      <c r="A3">
        <f>_xlfn.IFNA(INDEX(Clinics[Site],MATCH(Staff[[#This Row],[Location]],Clinics[Location],0)),"")</f>
        <v>1</v>
      </c>
      <c r="B3" t="s">
        <v>9</v>
      </c>
      <c r="C3" t="s">
        <v>83</v>
      </c>
      <c r="D3" t="s">
        <v>33</v>
      </c>
      <c r="E3" t="str">
        <f>IF(Staff[[#This Row],[Employee name]]="",TRUE,"")</f>
        <v/>
      </c>
    </row>
    <row r="4" spans="1:15" x14ac:dyDescent="0.25">
      <c r="A4">
        <f>_xlfn.IFNA(INDEX(Clinics[Site],MATCH(Staff[[#This Row],[Location]],Clinics[Location],0)),"")</f>
        <v>1</v>
      </c>
      <c r="B4" t="s">
        <v>9</v>
      </c>
      <c r="C4" t="s">
        <v>84</v>
      </c>
      <c r="D4" t="s">
        <v>33</v>
      </c>
      <c r="E4" t="str">
        <f>IF(Staff[[#This Row],[Employee name]]="",TRUE,"")</f>
        <v/>
      </c>
      <c r="G4" t="b">
        <v>1</v>
      </c>
    </row>
    <row r="5" spans="1:15" x14ac:dyDescent="0.25">
      <c r="A5">
        <f>_xlfn.IFNA(INDEX(Clinics[Site],MATCH(Staff[[#This Row],[Location]],Clinics[Location],0)),"")</f>
        <v>3</v>
      </c>
      <c r="B5" t="s">
        <v>16</v>
      </c>
      <c r="C5" t="s">
        <v>159</v>
      </c>
      <c r="D5" t="s">
        <v>32</v>
      </c>
      <c r="E5" t="str">
        <f>IF(Staff[[#This Row],[Employee name]]="",TRUE,"")</f>
        <v/>
      </c>
    </row>
    <row r="6" spans="1:15" x14ac:dyDescent="0.25">
      <c r="A6">
        <f>_xlfn.IFNA(INDEX(Clinics[Site],MATCH(Staff[[#This Row],[Location]],Clinics[Location],0)),"")</f>
        <v>3</v>
      </c>
      <c r="B6" t="s">
        <v>16</v>
      </c>
      <c r="C6" t="s">
        <v>160</v>
      </c>
      <c r="D6" t="s">
        <v>34</v>
      </c>
      <c r="E6" t="str">
        <f>IF(Staff[[#This Row],[Employee name]]="",TRUE,"")</f>
        <v/>
      </c>
    </row>
    <row r="7" spans="1:15" x14ac:dyDescent="0.25">
      <c r="A7">
        <f>_xlfn.IFNA(INDEX(Clinics[Site],MATCH(Staff[[#This Row],[Location]],Clinics[Location],0)),"")</f>
        <v>3</v>
      </c>
      <c r="B7" t="s">
        <v>16</v>
      </c>
      <c r="C7" t="s">
        <v>161</v>
      </c>
      <c r="D7" t="s">
        <v>2</v>
      </c>
      <c r="E7" t="str">
        <f>IF(Staff[[#This Row],[Employee name]]="",TRUE,"")</f>
        <v/>
      </c>
    </row>
    <row r="8" spans="1:15" x14ac:dyDescent="0.25">
      <c r="A8">
        <f>_xlfn.IFNA(INDEX(Clinics[Site],MATCH(Staff[[#This Row],[Location]],Clinics[Location],0)),"")</f>
        <v>3</v>
      </c>
      <c r="B8" t="s">
        <v>16</v>
      </c>
      <c r="C8" t="s">
        <v>162</v>
      </c>
      <c r="D8" t="s">
        <v>4</v>
      </c>
      <c r="E8" t="str">
        <f>IF(Staff[[#This Row],[Employee name]]="",TRUE,"")</f>
        <v/>
      </c>
    </row>
    <row r="9" spans="1:15" x14ac:dyDescent="0.25">
      <c r="A9">
        <f>_xlfn.IFNA(INDEX(Clinics[Site],MATCH(Staff[[#This Row],[Location]],Clinics[Location],0)),"")</f>
        <v>3</v>
      </c>
      <c r="B9" t="s">
        <v>16</v>
      </c>
      <c r="C9" t="s">
        <v>163</v>
      </c>
      <c r="D9" t="s">
        <v>4</v>
      </c>
      <c r="E9" t="str">
        <f>IF(Staff[[#This Row],[Employee name]]="",TRUE,"")</f>
        <v/>
      </c>
    </row>
    <row r="10" spans="1:15" x14ac:dyDescent="0.25">
      <c r="A10">
        <f>_xlfn.IFNA(INDEX(Clinics[Site],MATCH(Staff[[#This Row],[Location]],Clinics[Location],0)),"")</f>
        <v>3</v>
      </c>
      <c r="B10" t="s">
        <v>16</v>
      </c>
      <c r="C10" t="s">
        <v>164</v>
      </c>
      <c r="D10" t="s">
        <v>4</v>
      </c>
      <c r="E10" t="str">
        <f>IF(Staff[[#This Row],[Employee name]]="",TRUE,"")</f>
        <v/>
      </c>
    </row>
    <row r="11" spans="1:15" x14ac:dyDescent="0.25">
      <c r="A11">
        <f>_xlfn.IFNA(INDEX(Clinics[Site],MATCH(Staff[[#This Row],[Location]],Clinics[Location],0)),"")</f>
        <v>3</v>
      </c>
      <c r="B11" t="s">
        <v>16</v>
      </c>
      <c r="C11" t="s">
        <v>165</v>
      </c>
      <c r="D11" t="s">
        <v>33</v>
      </c>
      <c r="E11" t="str">
        <f>IF(Staff[[#This Row],[Employee name]]="",TRUE,"")</f>
        <v/>
      </c>
    </row>
    <row r="12" spans="1:15" x14ac:dyDescent="0.25">
      <c r="A12">
        <f>_xlfn.IFNA(INDEX(Clinics[Site],MATCH(Staff[[#This Row],[Location]],Clinics[Location],0)),"")</f>
        <v>3</v>
      </c>
      <c r="B12" t="s">
        <v>16</v>
      </c>
      <c r="C12" t="s">
        <v>166</v>
      </c>
      <c r="D12" t="s">
        <v>33</v>
      </c>
      <c r="E12" t="str">
        <f>IF(Staff[[#This Row],[Employee name]]="",TRUE,"")</f>
        <v/>
      </c>
      <c r="N12" t="b">
        <v>1</v>
      </c>
    </row>
    <row r="13" spans="1:15" x14ac:dyDescent="0.25">
      <c r="A13">
        <f>_xlfn.IFNA(INDEX(Clinics[Site],MATCH(Staff[[#This Row],[Location]],Clinics[Location],0)),"")</f>
        <v>3</v>
      </c>
      <c r="B13" t="s">
        <v>16</v>
      </c>
      <c r="C13" t="s">
        <v>167</v>
      </c>
      <c r="D13" t="s">
        <v>33</v>
      </c>
      <c r="E13" t="str">
        <f>IF(Staff[[#This Row],[Employee name]]="",TRUE,"")</f>
        <v/>
      </c>
      <c r="F13" t="b">
        <v>1</v>
      </c>
    </row>
    <row r="14" spans="1:15" x14ac:dyDescent="0.25">
      <c r="A14">
        <f>_xlfn.IFNA(INDEX(Clinics[Site],MATCH(Staff[[#This Row],[Location]],Clinics[Location],0)),"")</f>
        <v>32</v>
      </c>
      <c r="B14" t="s">
        <v>14</v>
      </c>
      <c r="C14" t="s">
        <v>118</v>
      </c>
      <c r="D14" t="s">
        <v>32</v>
      </c>
      <c r="E14" t="str">
        <f>IF(Staff[[#This Row],[Employee name]]="",TRUE,"")</f>
        <v/>
      </c>
      <c r="J14" t="b">
        <v>1</v>
      </c>
    </row>
    <row r="15" spans="1:15" x14ac:dyDescent="0.25">
      <c r="A15">
        <f>_xlfn.IFNA(INDEX(Clinics[Site],MATCH(Staff[[#This Row],[Location]],Clinics[Location],0)),"")</f>
        <v>32</v>
      </c>
      <c r="B15" t="s">
        <v>14</v>
      </c>
      <c r="C15" t="s">
        <v>152</v>
      </c>
      <c r="D15" t="s">
        <v>34</v>
      </c>
      <c r="E15" t="str">
        <f>IF(Staff[[#This Row],[Employee name]]="",TRUE,"")</f>
        <v/>
      </c>
    </row>
    <row r="16" spans="1:15" x14ac:dyDescent="0.25">
      <c r="A16">
        <f>_xlfn.IFNA(INDEX(Clinics[Site],MATCH(Staff[[#This Row],[Location]],Clinics[Location],0)),"")</f>
        <v>32</v>
      </c>
      <c r="B16" t="s">
        <v>14</v>
      </c>
      <c r="C16" t="s">
        <v>153</v>
      </c>
      <c r="D16" t="s">
        <v>2</v>
      </c>
      <c r="E16" t="str">
        <f>IF(Staff[[#This Row],[Employee name]]="",TRUE,"")</f>
        <v/>
      </c>
    </row>
    <row r="17" spans="1:15" x14ac:dyDescent="0.25">
      <c r="A17">
        <f>_xlfn.IFNA(INDEX(Clinics[Site],MATCH(Staff[[#This Row],[Location]],Clinics[Location],0)),"")</f>
        <v>32</v>
      </c>
      <c r="B17" t="s">
        <v>14</v>
      </c>
      <c r="D17" t="s">
        <v>122</v>
      </c>
      <c r="E17" t="b">
        <f>IF(Staff[[#This Row],[Employee name]]="",TRUE,"")</f>
        <v>1</v>
      </c>
    </row>
    <row r="18" spans="1:15" x14ac:dyDescent="0.25">
      <c r="A18">
        <f>_xlfn.IFNA(INDEX(Clinics[Site],MATCH(Staff[[#This Row],[Location]],Clinics[Location],0)),"")</f>
        <v>32</v>
      </c>
      <c r="B18" t="s">
        <v>14</v>
      </c>
      <c r="C18" t="s">
        <v>154</v>
      </c>
      <c r="D18" t="s">
        <v>4</v>
      </c>
      <c r="E18" t="str">
        <f>IF(Staff[[#This Row],[Employee name]]="",TRUE,"")</f>
        <v/>
      </c>
    </row>
    <row r="19" spans="1:15" x14ac:dyDescent="0.25">
      <c r="A19">
        <f>_xlfn.IFNA(INDEX(Clinics[Site],MATCH(Staff[[#This Row],[Location]],Clinics[Location],0)),"")</f>
        <v>32</v>
      </c>
      <c r="B19" t="s">
        <v>14</v>
      </c>
      <c r="C19" t="s">
        <v>155</v>
      </c>
      <c r="D19" t="s">
        <v>4</v>
      </c>
      <c r="E19" t="str">
        <f>IF(Staff[[#This Row],[Employee name]]="",TRUE,"")</f>
        <v/>
      </c>
      <c r="H19" t="b">
        <v>1</v>
      </c>
    </row>
    <row r="20" spans="1:15" x14ac:dyDescent="0.25">
      <c r="A20">
        <f>_xlfn.IFNA(INDEX(Clinics[Site],MATCH(Staff[[#This Row],[Location]],Clinics[Location],0)),"")</f>
        <v>32</v>
      </c>
      <c r="B20" t="s">
        <v>14</v>
      </c>
      <c r="C20" t="s">
        <v>156</v>
      </c>
      <c r="D20" t="s">
        <v>33</v>
      </c>
      <c r="E20" t="str">
        <f>IF(Staff[[#This Row],[Employee name]]="",TRUE,"")</f>
        <v/>
      </c>
    </row>
    <row r="21" spans="1:15" x14ac:dyDescent="0.25">
      <c r="A21">
        <f>_xlfn.IFNA(INDEX(Clinics[Site],MATCH(Staff[[#This Row],[Location]],Clinics[Location],0)),"")</f>
        <v>32</v>
      </c>
      <c r="B21" t="s">
        <v>14</v>
      </c>
      <c r="D21" t="s">
        <v>124</v>
      </c>
      <c r="E21" t="b">
        <f>IF(Staff[[#This Row],[Employee name]]="",TRUE,"")</f>
        <v>1</v>
      </c>
    </row>
    <row r="22" spans="1:15" x14ac:dyDescent="0.25">
      <c r="A22">
        <f>_xlfn.IFNA(INDEX(Clinics[Site],MATCH(Staff[[#This Row],[Location]],Clinics[Location],0)),"")</f>
        <v>32</v>
      </c>
      <c r="B22" t="s">
        <v>14</v>
      </c>
      <c r="D22" t="s">
        <v>124</v>
      </c>
      <c r="E22" t="b">
        <f>IF(Staff[[#This Row],[Employee name]]="",TRUE,"")</f>
        <v>1</v>
      </c>
    </row>
    <row r="23" spans="1:15" x14ac:dyDescent="0.25">
      <c r="A23">
        <f>_xlfn.IFNA(INDEX(Clinics[Site],MATCH(Staff[[#This Row],[Location]],Clinics[Location],0)),"")</f>
        <v>32</v>
      </c>
      <c r="B23" t="s">
        <v>14</v>
      </c>
      <c r="C23" t="s">
        <v>157</v>
      </c>
      <c r="D23" t="s">
        <v>124</v>
      </c>
      <c r="E23" t="str">
        <f>IF(Staff[[#This Row],[Employee name]]="",TRUE,"")</f>
        <v/>
      </c>
      <c r="F23" t="b">
        <v>1</v>
      </c>
      <c r="L23" t="b">
        <v>1</v>
      </c>
    </row>
    <row r="24" spans="1:15" x14ac:dyDescent="0.25">
      <c r="A24">
        <f>_xlfn.IFNA(INDEX(Clinics[Site],MATCH(Staff[[#This Row],[Location]],Clinics[Location],0)),"")</f>
        <v>32</v>
      </c>
      <c r="B24" t="s">
        <v>14</v>
      </c>
      <c r="C24" t="s">
        <v>158</v>
      </c>
      <c r="D24" t="s">
        <v>124</v>
      </c>
      <c r="E24" t="str">
        <f>IF(Staff[[#This Row],[Employee name]]="",TRUE,"")</f>
        <v/>
      </c>
      <c r="F24" t="b">
        <v>1</v>
      </c>
      <c r="L24" t="b">
        <v>1</v>
      </c>
    </row>
    <row r="25" spans="1:15" x14ac:dyDescent="0.25">
      <c r="A25">
        <f>_xlfn.IFNA(INDEX(Clinics[Site],MATCH(Staff[[#This Row],[Location]],Clinics[Location],0)),"")</f>
        <v>32</v>
      </c>
      <c r="B25" t="s">
        <v>14</v>
      </c>
      <c r="C25" t="s">
        <v>150</v>
      </c>
      <c r="D25" t="s">
        <v>34</v>
      </c>
      <c r="E25" t="str">
        <f>IF(Staff[[#This Row],[Employee name]]="",TRUE,"")</f>
        <v/>
      </c>
      <c r="F25" t="b">
        <v>1</v>
      </c>
      <c r="L25" t="b">
        <v>1</v>
      </c>
    </row>
    <row r="26" spans="1:15" x14ac:dyDescent="0.25">
      <c r="A26">
        <f>_xlfn.IFNA(INDEX(Clinics[Site],MATCH(Staff[[#This Row],[Location]],Clinics[Location],0)),"")</f>
        <v>8</v>
      </c>
      <c r="B26" t="s">
        <v>21</v>
      </c>
      <c r="D26" t="s">
        <v>32</v>
      </c>
      <c r="E26" t="b">
        <f>IF(Staff[[#This Row],[Employee name]]="",TRUE,"")</f>
        <v>1</v>
      </c>
      <c r="O26" s="7">
        <v>45084.506597222222</v>
      </c>
    </row>
    <row r="27" spans="1:15" x14ac:dyDescent="0.25">
      <c r="A27">
        <f>_xlfn.IFNA(INDEX(Clinics[Site],MATCH(Staff[[#This Row],[Location]],Clinics[Location],0)),"")</f>
        <v>8</v>
      </c>
      <c r="B27" t="s">
        <v>21</v>
      </c>
      <c r="C27" t="s">
        <v>103</v>
      </c>
      <c r="D27" t="s">
        <v>32</v>
      </c>
      <c r="E27" t="str">
        <f>IF(Staff[[#This Row],[Employee name]]="",TRUE,"")</f>
        <v/>
      </c>
      <c r="O27" s="7">
        <v>45084.506597222222</v>
      </c>
    </row>
    <row r="28" spans="1:15" x14ac:dyDescent="0.25">
      <c r="A28">
        <f>_xlfn.IFNA(INDEX(Clinics[Site],MATCH(Staff[[#This Row],[Location]],Clinics[Location],0)),"")</f>
        <v>8</v>
      </c>
      <c r="B28" t="s">
        <v>21</v>
      </c>
      <c r="C28" t="s">
        <v>104</v>
      </c>
      <c r="D28" t="s">
        <v>34</v>
      </c>
      <c r="E28" t="str">
        <f>IF(Staff[[#This Row],[Employee name]]="",TRUE,"")</f>
        <v/>
      </c>
      <c r="H28" t="b">
        <v>1</v>
      </c>
      <c r="O28" s="7">
        <v>45084.506597222222</v>
      </c>
    </row>
    <row r="29" spans="1:15" x14ac:dyDescent="0.25">
      <c r="A29">
        <f>_xlfn.IFNA(INDEX(Clinics[Site],MATCH(Staff[[#This Row],[Location]],Clinics[Location],0)),"")</f>
        <v>8</v>
      </c>
      <c r="B29" t="s">
        <v>21</v>
      </c>
      <c r="C29" t="s">
        <v>190</v>
      </c>
      <c r="D29" t="s">
        <v>2</v>
      </c>
      <c r="E29" t="str">
        <f>IF(Staff[[#This Row],[Employee name]]="",TRUE,"")</f>
        <v/>
      </c>
      <c r="H29" t="b">
        <v>1</v>
      </c>
      <c r="O29" s="7">
        <v>45084.506597222222</v>
      </c>
    </row>
    <row r="30" spans="1:15" x14ac:dyDescent="0.25">
      <c r="A30">
        <f>_xlfn.IFNA(INDEX(Clinics[Site],MATCH(Staff[[#This Row],[Location]],Clinics[Location],0)),"")</f>
        <v>8</v>
      </c>
      <c r="B30" t="s">
        <v>21</v>
      </c>
      <c r="C30" t="s">
        <v>191</v>
      </c>
      <c r="D30" t="s">
        <v>2</v>
      </c>
      <c r="E30" t="str">
        <f>IF(Staff[[#This Row],[Employee name]]="",TRUE,"")</f>
        <v/>
      </c>
      <c r="O30" s="7">
        <v>45084.506597222222</v>
      </c>
    </row>
    <row r="31" spans="1:15" x14ac:dyDescent="0.25">
      <c r="A31">
        <f>_xlfn.IFNA(INDEX(Clinics[Site],MATCH(Staff[[#This Row],[Location]],Clinics[Location],0)),"")</f>
        <v>8</v>
      </c>
      <c r="B31" t="s">
        <v>21</v>
      </c>
      <c r="C31" t="s">
        <v>192</v>
      </c>
      <c r="D31" t="s">
        <v>2</v>
      </c>
      <c r="E31" t="str">
        <f>IF(Staff[[#This Row],[Employee name]]="",TRUE,"")</f>
        <v/>
      </c>
      <c r="O31" s="7">
        <v>45084.506597222222</v>
      </c>
    </row>
    <row r="32" spans="1:15" x14ac:dyDescent="0.25">
      <c r="A32">
        <f>_xlfn.IFNA(INDEX(Clinics[Site],MATCH(Staff[[#This Row],[Location]],Clinics[Location],0)),"")</f>
        <v>8</v>
      </c>
      <c r="B32" t="s">
        <v>21</v>
      </c>
      <c r="C32" t="s">
        <v>193</v>
      </c>
      <c r="D32" t="s">
        <v>33</v>
      </c>
      <c r="E32" t="str">
        <f>IF(Staff[[#This Row],[Employee name]]="",TRUE,"")</f>
        <v/>
      </c>
      <c r="O32" s="7">
        <v>45084.506597222222</v>
      </c>
    </row>
    <row r="33" spans="1:15" x14ac:dyDescent="0.25">
      <c r="A33">
        <f>_xlfn.IFNA(INDEX(Clinics[Site],MATCH(Staff[[#This Row],[Location]],Clinics[Location],0)),"")</f>
        <v>8</v>
      </c>
      <c r="B33" t="s">
        <v>21</v>
      </c>
      <c r="C33" t="s">
        <v>194</v>
      </c>
      <c r="D33" t="s">
        <v>33</v>
      </c>
      <c r="E33" t="str">
        <f>IF(Staff[[#This Row],[Employee name]]="",TRUE,"")</f>
        <v/>
      </c>
      <c r="O33" s="7">
        <v>45084.506597222222</v>
      </c>
    </row>
    <row r="34" spans="1:15" x14ac:dyDescent="0.25">
      <c r="A34">
        <f>_xlfn.IFNA(INDEX(Clinics[Site],MATCH(Staff[[#This Row],[Location]],Clinics[Location],0)),"")</f>
        <v>8</v>
      </c>
      <c r="B34" t="s">
        <v>21</v>
      </c>
      <c r="D34" t="s">
        <v>124</v>
      </c>
      <c r="E34" t="b">
        <f>IF(Staff[[#This Row],[Employee name]]="",TRUE,"")</f>
        <v>1</v>
      </c>
      <c r="O34" s="7">
        <v>45084.506597222222</v>
      </c>
    </row>
    <row r="35" spans="1:15" x14ac:dyDescent="0.25">
      <c r="A35">
        <f>_xlfn.IFNA(INDEX(Clinics[Site],MATCH(Staff[[#This Row],[Location]],Clinics[Location],0)),"")</f>
        <v>8</v>
      </c>
      <c r="B35" t="s">
        <v>21</v>
      </c>
      <c r="D35" t="s">
        <v>124</v>
      </c>
      <c r="E35" t="b">
        <f>IF(Staff[[#This Row],[Employee name]]="",TRUE,"")</f>
        <v>1</v>
      </c>
      <c r="O35" s="7">
        <v>45084.506597222222</v>
      </c>
    </row>
    <row r="36" spans="1:15" x14ac:dyDescent="0.25">
      <c r="A36">
        <f>_xlfn.IFNA(INDEX(Clinics[Site],MATCH(Staff[[#This Row],[Location]],Clinics[Location],0)),"")</f>
        <v>8</v>
      </c>
      <c r="B36" t="s">
        <v>21</v>
      </c>
      <c r="D36" t="s">
        <v>124</v>
      </c>
      <c r="E36" t="b">
        <f>IF(Staff[[#This Row],[Employee name]]="",TRUE,"")</f>
        <v>1</v>
      </c>
      <c r="O36" s="7">
        <v>45084.506597222222</v>
      </c>
    </row>
    <row r="37" spans="1:15" x14ac:dyDescent="0.25">
      <c r="A37">
        <f>_xlfn.IFNA(INDEX(Clinics[Site],MATCH(Staff[[#This Row],[Location]],Clinics[Location],0)),"")</f>
        <v>9</v>
      </c>
      <c r="B37" t="s">
        <v>22</v>
      </c>
      <c r="D37" t="s">
        <v>32</v>
      </c>
      <c r="E37" t="b">
        <f>IF(Staff[[#This Row],[Employee name]]="",TRUE,"")</f>
        <v>1</v>
      </c>
      <c r="O37" s="7">
        <v>45084.511284722219</v>
      </c>
    </row>
    <row r="38" spans="1:15" x14ac:dyDescent="0.25">
      <c r="A38">
        <f>_xlfn.IFNA(INDEX(Clinics[Site],MATCH(Staff[[#This Row],[Location]],Clinics[Location],0)),"")</f>
        <v>9</v>
      </c>
      <c r="B38" t="s">
        <v>22</v>
      </c>
      <c r="C38" t="s">
        <v>195</v>
      </c>
      <c r="D38" t="s">
        <v>32</v>
      </c>
      <c r="E38" t="str">
        <f>IF(Staff[[#This Row],[Employee name]]="",TRUE,"")</f>
        <v/>
      </c>
      <c r="O38" s="7">
        <v>45084.511284722219</v>
      </c>
    </row>
    <row r="39" spans="1:15" x14ac:dyDescent="0.25">
      <c r="A39">
        <f>_xlfn.IFNA(INDEX(Clinics[Site],MATCH(Staff[[#This Row],[Location]],Clinics[Location],0)),"")</f>
        <v>9</v>
      </c>
      <c r="B39" t="s">
        <v>22</v>
      </c>
      <c r="C39" t="s">
        <v>196</v>
      </c>
      <c r="D39" t="s">
        <v>32</v>
      </c>
      <c r="E39" t="str">
        <f>IF(Staff[[#This Row],[Employee name]]="",TRUE,"")</f>
        <v/>
      </c>
      <c r="O39" s="7">
        <v>45084.511284722219</v>
      </c>
    </row>
    <row r="40" spans="1:15" x14ac:dyDescent="0.25">
      <c r="A40">
        <f>_xlfn.IFNA(INDEX(Clinics[Site],MATCH(Staff[[#This Row],[Location]],Clinics[Location],0)),"")</f>
        <v>9</v>
      </c>
      <c r="B40" t="s">
        <v>22</v>
      </c>
      <c r="C40" t="s">
        <v>197</v>
      </c>
      <c r="D40" t="s">
        <v>34</v>
      </c>
      <c r="E40" t="str">
        <f>IF(Staff[[#This Row],[Employee name]]="",TRUE,"")</f>
        <v/>
      </c>
      <c r="O40" s="7">
        <v>45084.511284722219</v>
      </c>
    </row>
    <row r="41" spans="1:15" x14ac:dyDescent="0.25">
      <c r="A41">
        <f>_xlfn.IFNA(INDEX(Clinics[Site],MATCH(Staff[[#This Row],[Location]],Clinics[Location],0)),"")</f>
        <v>9</v>
      </c>
      <c r="B41" t="s">
        <v>22</v>
      </c>
      <c r="C41" t="s">
        <v>198</v>
      </c>
      <c r="D41" t="s">
        <v>2</v>
      </c>
      <c r="E41" t="str">
        <f>IF(Staff[[#This Row],[Employee name]]="",TRUE,"")</f>
        <v/>
      </c>
      <c r="H41" t="b">
        <v>1</v>
      </c>
      <c r="O41" s="7">
        <v>45084.511284722219</v>
      </c>
    </row>
    <row r="42" spans="1:15" x14ac:dyDescent="0.25">
      <c r="A42">
        <f>_xlfn.IFNA(INDEX(Clinics[Site],MATCH(Staff[[#This Row],[Location]],Clinics[Location],0)),"")</f>
        <v>9</v>
      </c>
      <c r="B42" t="s">
        <v>22</v>
      </c>
      <c r="C42" t="s">
        <v>199</v>
      </c>
      <c r="D42" t="s">
        <v>2</v>
      </c>
      <c r="E42" t="str">
        <f>IF(Staff[[#This Row],[Employee name]]="",TRUE,"")</f>
        <v/>
      </c>
      <c r="H42" t="b">
        <v>1</v>
      </c>
      <c r="O42" s="7">
        <v>45084.511284722219</v>
      </c>
    </row>
    <row r="43" spans="1:15" x14ac:dyDescent="0.25">
      <c r="A43">
        <f>_xlfn.IFNA(INDEX(Clinics[Site],MATCH(Staff[[#This Row],[Location]],Clinics[Location],0)),"")</f>
        <v>9</v>
      </c>
      <c r="B43" t="s">
        <v>22</v>
      </c>
      <c r="C43" t="s">
        <v>200</v>
      </c>
      <c r="D43" t="s">
        <v>2</v>
      </c>
      <c r="E43" t="str">
        <f>IF(Staff[[#This Row],[Employee name]]="",TRUE,"")</f>
        <v/>
      </c>
      <c r="O43" s="7">
        <v>45084.511284722219</v>
      </c>
    </row>
    <row r="44" spans="1:15" x14ac:dyDescent="0.25">
      <c r="A44">
        <f>_xlfn.IFNA(INDEX(Clinics[Site],MATCH(Staff[[#This Row],[Location]],Clinics[Location],0)),"")</f>
        <v>9</v>
      </c>
      <c r="B44" t="s">
        <v>22</v>
      </c>
      <c r="C44" t="s">
        <v>201</v>
      </c>
      <c r="D44" t="s">
        <v>2</v>
      </c>
      <c r="E44" t="str">
        <f>IF(Staff[[#This Row],[Employee name]]="",TRUE,"")</f>
        <v/>
      </c>
      <c r="O44" s="7">
        <v>45084.511284722219</v>
      </c>
    </row>
    <row r="45" spans="1:15" x14ac:dyDescent="0.25">
      <c r="A45">
        <f>_xlfn.IFNA(INDEX(Clinics[Site],MATCH(Staff[[#This Row],[Location]],Clinics[Location],0)),"")</f>
        <v>9</v>
      </c>
      <c r="B45" t="s">
        <v>22</v>
      </c>
      <c r="C45" t="s">
        <v>202</v>
      </c>
      <c r="D45" t="s">
        <v>4</v>
      </c>
      <c r="E45" t="str">
        <f>IF(Staff[[#This Row],[Employee name]]="",TRUE,"")</f>
        <v/>
      </c>
      <c r="O45" s="7">
        <v>45084.511284722219</v>
      </c>
    </row>
    <row r="46" spans="1:15" x14ac:dyDescent="0.25">
      <c r="A46">
        <f>_xlfn.IFNA(INDEX(Clinics[Site],MATCH(Staff[[#This Row],[Location]],Clinics[Location],0)),"")</f>
        <v>9</v>
      </c>
      <c r="B46" t="s">
        <v>22</v>
      </c>
      <c r="C46" t="s">
        <v>203</v>
      </c>
      <c r="D46" t="s">
        <v>33</v>
      </c>
      <c r="E46" t="str">
        <f>IF(Staff[[#This Row],[Employee name]]="",TRUE,"")</f>
        <v/>
      </c>
      <c r="H46" t="b">
        <v>1</v>
      </c>
      <c r="O46" s="7">
        <v>45084.511284722219</v>
      </c>
    </row>
    <row r="47" spans="1:15" x14ac:dyDescent="0.25">
      <c r="A47">
        <f>_xlfn.IFNA(INDEX(Clinics[Site],MATCH(Staff[[#This Row],[Location]],Clinics[Location],0)),"")</f>
        <v>9</v>
      </c>
      <c r="B47" t="s">
        <v>22</v>
      </c>
      <c r="C47" t="s">
        <v>204</v>
      </c>
      <c r="D47" t="s">
        <v>33</v>
      </c>
      <c r="E47" t="str">
        <f>IF(Staff[[#This Row],[Employee name]]="",TRUE,"")</f>
        <v/>
      </c>
      <c r="G47" t="b">
        <v>1</v>
      </c>
      <c r="H47" t="b">
        <v>1</v>
      </c>
      <c r="O47" s="7">
        <v>45084.511284722219</v>
      </c>
    </row>
    <row r="48" spans="1:15" x14ac:dyDescent="0.25">
      <c r="A48">
        <f>_xlfn.IFNA(INDEX(Clinics[Site],MATCH(Staff[[#This Row],[Location]],Clinics[Location],0)),"")</f>
        <v>9</v>
      </c>
      <c r="B48" t="s">
        <v>22</v>
      </c>
      <c r="C48" t="s">
        <v>205</v>
      </c>
      <c r="D48" t="s">
        <v>33</v>
      </c>
      <c r="E48" t="str">
        <f>IF(Staff[[#This Row],[Employee name]]="",TRUE,"")</f>
        <v/>
      </c>
      <c r="O48" s="7">
        <v>45084.511284722219</v>
      </c>
    </row>
    <row r="49" spans="1:15" x14ac:dyDescent="0.25">
      <c r="A49">
        <f>_xlfn.IFNA(INDEX(Clinics[Site],MATCH(Staff[[#This Row],[Location]],Clinics[Location],0)),"")</f>
        <v>9</v>
      </c>
      <c r="B49" t="s">
        <v>22</v>
      </c>
      <c r="C49" t="s">
        <v>206</v>
      </c>
      <c r="D49" t="s">
        <v>33</v>
      </c>
      <c r="E49" t="str">
        <f>IF(Staff[[#This Row],[Employee name]]="",TRUE,"")</f>
        <v/>
      </c>
      <c r="O49" s="7">
        <v>45084.511284722219</v>
      </c>
    </row>
    <row r="50" spans="1:15" x14ac:dyDescent="0.25">
      <c r="A50">
        <f>_xlfn.IFNA(INDEX(Clinics[Site],MATCH(Staff[[#This Row],[Location]],Clinics[Location],0)),"")</f>
        <v>9</v>
      </c>
      <c r="B50" t="s">
        <v>22</v>
      </c>
      <c r="C50" t="s">
        <v>207</v>
      </c>
      <c r="D50" t="s">
        <v>33</v>
      </c>
      <c r="E50" t="str">
        <f>IF(Staff[[#This Row],[Employee name]]="",TRUE,"")</f>
        <v/>
      </c>
      <c r="O50" s="7">
        <v>45084.511284722219</v>
      </c>
    </row>
    <row r="51" spans="1:15" x14ac:dyDescent="0.25">
      <c r="A51">
        <f>_xlfn.IFNA(INDEX(Clinics[Site],MATCH(Staff[[#This Row],[Location]],Clinics[Location],0)),"")</f>
        <v>9</v>
      </c>
      <c r="B51" t="s">
        <v>22</v>
      </c>
      <c r="C51" t="s">
        <v>208</v>
      </c>
      <c r="D51" t="s">
        <v>33</v>
      </c>
      <c r="E51" t="str">
        <f>IF(Staff[[#This Row],[Employee name]]="",TRUE,"")</f>
        <v/>
      </c>
      <c r="F51" t="b">
        <v>1</v>
      </c>
      <c r="O51" s="7">
        <v>45084.511284722219</v>
      </c>
    </row>
    <row r="52" spans="1:15" x14ac:dyDescent="0.25">
      <c r="A52">
        <f>_xlfn.IFNA(INDEX(Clinics[Site],MATCH(Staff[[#This Row],[Location]],Clinics[Location],0)),"")</f>
        <v>9</v>
      </c>
      <c r="B52" t="s">
        <v>22</v>
      </c>
      <c r="D52" t="s">
        <v>124</v>
      </c>
      <c r="E52" t="b">
        <f>IF(Staff[[#This Row],[Employee name]]="",TRUE,"")</f>
        <v>1</v>
      </c>
      <c r="O52" s="7">
        <v>45084.511284722219</v>
      </c>
    </row>
    <row r="53" spans="1:15" x14ac:dyDescent="0.25">
      <c r="A53">
        <f>_xlfn.IFNA(INDEX(Clinics[Site],MATCH(Staff[[#This Row],[Location]],Clinics[Location],0)),"")</f>
        <v>9</v>
      </c>
      <c r="B53" t="s">
        <v>22</v>
      </c>
      <c r="D53" t="s">
        <v>124</v>
      </c>
      <c r="E53" t="b">
        <f>IF(Staff[[#This Row],[Employee name]]="",TRUE,"")</f>
        <v>1</v>
      </c>
      <c r="O53" s="7">
        <v>45084.511284722219</v>
      </c>
    </row>
    <row r="54" spans="1:15" x14ac:dyDescent="0.25">
      <c r="A54">
        <f>_xlfn.IFNA(INDEX(Clinics[Site],MATCH(Staff[[#This Row],[Location]],Clinics[Location],0)),"")</f>
        <v>0</v>
      </c>
      <c r="B54" t="s">
        <v>0</v>
      </c>
      <c r="C54" t="s">
        <v>218</v>
      </c>
      <c r="D54" t="s">
        <v>42</v>
      </c>
      <c r="E54" t="str">
        <f>IF(Staff[[#This Row],[Employee name]]="",TRUE,"")</f>
        <v/>
      </c>
      <c r="O54" s="7">
        <v>45084.516875000001</v>
      </c>
    </row>
    <row r="55" spans="1:15" x14ac:dyDescent="0.25">
      <c r="A55">
        <f>_xlfn.IFNA(INDEX(Clinics[Site],MATCH(Staff[[#This Row],[Location]],Clinics[Location],0)),"")</f>
        <v>0</v>
      </c>
      <c r="B55" t="s">
        <v>0</v>
      </c>
      <c r="D55" t="s">
        <v>41</v>
      </c>
      <c r="E55" t="b">
        <f>IF(Staff[[#This Row],[Employee name]]="",TRUE,"")</f>
        <v>1</v>
      </c>
      <c r="O55" s="7">
        <v>45084.516875000001</v>
      </c>
    </row>
    <row r="56" spans="1:15" x14ac:dyDescent="0.25">
      <c r="A56">
        <f>_xlfn.IFNA(INDEX(Clinics[Site],MATCH(Staff[[#This Row],[Location]],Clinics[Location],0)),"")</f>
        <v>0</v>
      </c>
      <c r="B56" t="s">
        <v>0</v>
      </c>
      <c r="C56" t="s">
        <v>219</v>
      </c>
      <c r="D56" t="s">
        <v>43</v>
      </c>
      <c r="E56" t="str">
        <f>IF(Staff[[#This Row],[Employee name]]="",TRUE,"")</f>
        <v/>
      </c>
      <c r="O56" s="7">
        <v>45084.516875000001</v>
      </c>
    </row>
    <row r="57" spans="1:15" x14ac:dyDescent="0.25">
      <c r="A57">
        <f>_xlfn.IFNA(INDEX(Clinics[Site],MATCH(Staff[[#This Row],[Location]],Clinics[Location],0)),"")</f>
        <v>24</v>
      </c>
      <c r="B57" t="s">
        <v>12</v>
      </c>
      <c r="C57" t="s">
        <v>225</v>
      </c>
      <c r="D57" t="s">
        <v>32</v>
      </c>
      <c r="E57" t="str">
        <f>IF(Staff[[#This Row],[Employee name]]="",TRUE,"")</f>
        <v/>
      </c>
      <c r="O57" s="7">
        <v>45084.521111111113</v>
      </c>
    </row>
    <row r="58" spans="1:15" x14ac:dyDescent="0.25">
      <c r="A58">
        <f>_xlfn.IFNA(INDEX(Clinics[Site],MATCH(Staff[[#This Row],[Location]],Clinics[Location],0)),"")</f>
        <v>24</v>
      </c>
      <c r="B58" t="s">
        <v>12</v>
      </c>
      <c r="C58" t="s">
        <v>226</v>
      </c>
      <c r="D58" t="s">
        <v>32</v>
      </c>
      <c r="E58" t="str">
        <f>IF(Staff[[#This Row],[Employee name]]="",TRUE,"")</f>
        <v/>
      </c>
      <c r="O58" s="7">
        <v>45084.521111111113</v>
      </c>
    </row>
    <row r="59" spans="1:15" x14ac:dyDescent="0.25">
      <c r="A59">
        <f>_xlfn.IFNA(INDEX(Clinics[Site],MATCH(Staff[[#This Row],[Location]],Clinics[Location],0)),"")</f>
        <v>24</v>
      </c>
      <c r="B59" t="s">
        <v>12</v>
      </c>
      <c r="C59" t="s">
        <v>227</v>
      </c>
      <c r="D59" t="s">
        <v>34</v>
      </c>
      <c r="E59" t="str">
        <f>IF(Staff[[#This Row],[Employee name]]="",TRUE,"")</f>
        <v/>
      </c>
      <c r="O59" s="7">
        <v>45084.521111111113</v>
      </c>
    </row>
    <row r="60" spans="1:15" x14ac:dyDescent="0.25">
      <c r="A60">
        <f>_xlfn.IFNA(INDEX(Clinics[Site],MATCH(Staff[[#This Row],[Location]],Clinics[Location],0)),"")</f>
        <v>24</v>
      </c>
      <c r="B60" t="s">
        <v>12</v>
      </c>
      <c r="C60" t="s">
        <v>228</v>
      </c>
      <c r="D60" t="s">
        <v>2</v>
      </c>
      <c r="E60" t="str">
        <f>IF(Staff[[#This Row],[Employee name]]="",TRUE,"")</f>
        <v/>
      </c>
      <c r="N60" t="b">
        <v>1</v>
      </c>
      <c r="O60" s="7">
        <v>45084.521111111113</v>
      </c>
    </row>
    <row r="61" spans="1:15" x14ac:dyDescent="0.25">
      <c r="A61">
        <f>_xlfn.IFNA(INDEX(Clinics[Site],MATCH(Staff[[#This Row],[Location]],Clinics[Location],0)),"")</f>
        <v>24</v>
      </c>
      <c r="B61" t="s">
        <v>12</v>
      </c>
      <c r="D61" t="s">
        <v>122</v>
      </c>
      <c r="E61" t="b">
        <f>IF(Staff[[#This Row],[Employee name]]="",TRUE,"")</f>
        <v>1</v>
      </c>
      <c r="O61" s="7">
        <v>45084.521111111113</v>
      </c>
    </row>
    <row r="62" spans="1:15" x14ac:dyDescent="0.25">
      <c r="A62">
        <f>_xlfn.IFNA(INDEX(Clinics[Site],MATCH(Staff[[#This Row],[Location]],Clinics[Location],0)),"")</f>
        <v>24</v>
      </c>
      <c r="B62" t="s">
        <v>12</v>
      </c>
      <c r="D62" t="s">
        <v>122</v>
      </c>
      <c r="E62" t="b">
        <f>IF(Staff[[#This Row],[Employee name]]="",TRUE,"")</f>
        <v>1</v>
      </c>
      <c r="O62" s="7">
        <v>45084.521111111113</v>
      </c>
    </row>
    <row r="63" spans="1:15" x14ac:dyDescent="0.25">
      <c r="A63">
        <f>_xlfn.IFNA(INDEX(Clinics[Site],MATCH(Staff[[#This Row],[Location]],Clinics[Location],0)),"")</f>
        <v>24</v>
      </c>
      <c r="B63" t="s">
        <v>12</v>
      </c>
      <c r="C63" t="s">
        <v>229</v>
      </c>
      <c r="D63" t="s">
        <v>33</v>
      </c>
      <c r="E63" t="str">
        <f>IF(Staff[[#This Row],[Employee name]]="",TRUE,"")</f>
        <v/>
      </c>
      <c r="O63" s="7">
        <v>45084.521111111113</v>
      </c>
    </row>
    <row r="64" spans="1:15" x14ac:dyDescent="0.25">
      <c r="A64">
        <f>_xlfn.IFNA(INDEX(Clinics[Site],MATCH(Staff[[#This Row],[Location]],Clinics[Location],0)),"")</f>
        <v>24</v>
      </c>
      <c r="B64" t="s">
        <v>12</v>
      </c>
      <c r="C64" t="s">
        <v>230</v>
      </c>
      <c r="D64" t="s">
        <v>4</v>
      </c>
      <c r="E64" t="str">
        <f>IF(Staff[[#This Row],[Employee name]]="",TRUE,"")</f>
        <v/>
      </c>
      <c r="O64" s="7">
        <v>45084.521111111113</v>
      </c>
    </row>
    <row r="65" spans="1:15" x14ac:dyDescent="0.25">
      <c r="A65">
        <f>_xlfn.IFNA(INDEX(Clinics[Site],MATCH(Staff[[#This Row],[Location]],Clinics[Location],0)),"")</f>
        <v>24</v>
      </c>
      <c r="B65" t="s">
        <v>12</v>
      </c>
      <c r="C65" t="s">
        <v>231</v>
      </c>
      <c r="D65" t="s">
        <v>33</v>
      </c>
      <c r="E65" t="str">
        <f>IF(Staff[[#This Row],[Employee name]]="",TRUE,"")</f>
        <v/>
      </c>
      <c r="O65" s="7">
        <v>45084.521111111113</v>
      </c>
    </row>
    <row r="66" spans="1:15" x14ac:dyDescent="0.25">
      <c r="A66">
        <f>_xlfn.IFNA(INDEX(Clinics[Site],MATCH(Staff[[#This Row],[Location]],Clinics[Location],0)),"")</f>
        <v>24</v>
      </c>
      <c r="B66" t="s">
        <v>12</v>
      </c>
      <c r="C66" t="s">
        <v>232</v>
      </c>
      <c r="D66" t="s">
        <v>33</v>
      </c>
      <c r="E66" t="str">
        <f>IF(Staff[[#This Row],[Employee name]]="",TRUE,"")</f>
        <v/>
      </c>
      <c r="G66" t="b">
        <v>1</v>
      </c>
      <c r="O66" s="7">
        <v>45084.521111111113</v>
      </c>
    </row>
    <row r="67" spans="1:15" x14ac:dyDescent="0.25">
      <c r="A67">
        <f>_xlfn.IFNA(INDEX(Clinics[Site],MATCH(Staff[[#This Row],[Location]],Clinics[Location],0)),"")</f>
        <v>24</v>
      </c>
      <c r="B67" t="s">
        <v>12</v>
      </c>
      <c r="C67" t="s">
        <v>233</v>
      </c>
      <c r="D67" t="s">
        <v>33</v>
      </c>
      <c r="E67" t="str">
        <f>IF(Staff[[#This Row],[Employee name]]="",TRUE,"")</f>
        <v/>
      </c>
      <c r="O67" s="7">
        <v>45084.521111111113</v>
      </c>
    </row>
    <row r="68" spans="1:15" x14ac:dyDescent="0.25">
      <c r="A68">
        <f>_xlfn.IFNA(INDEX(Clinics[Site],MATCH(Staff[[#This Row],[Location]],Clinics[Location],0)),"")</f>
        <v>24</v>
      </c>
      <c r="B68" t="s">
        <v>12</v>
      </c>
      <c r="C68" t="s">
        <v>234</v>
      </c>
      <c r="D68" t="s">
        <v>34</v>
      </c>
      <c r="E68" t="str">
        <f>IF(Staff[[#This Row],[Employee name]]="",TRUE,"")</f>
        <v/>
      </c>
      <c r="L68" t="b">
        <v>1</v>
      </c>
      <c r="O68" s="7">
        <v>45084.521111111113</v>
      </c>
    </row>
    <row r="69" spans="1:15" x14ac:dyDescent="0.25">
      <c r="A69">
        <f>_xlfn.IFNA(INDEX(Clinics[Site],MATCH(Staff[[#This Row],[Location]],Clinics[Location],0)),"")</f>
        <v>24</v>
      </c>
      <c r="B69" t="s">
        <v>12</v>
      </c>
      <c r="C69" t="s">
        <v>235</v>
      </c>
      <c r="D69" t="s">
        <v>34</v>
      </c>
      <c r="E69" t="str">
        <f>IF(Staff[[#This Row],[Employee name]]="",TRUE,"")</f>
        <v/>
      </c>
      <c r="F69" t="b">
        <v>1</v>
      </c>
      <c r="L69" t="b">
        <v>1</v>
      </c>
      <c r="O69" s="7">
        <v>45084.521111111113</v>
      </c>
    </row>
    <row r="70" spans="1:15" x14ac:dyDescent="0.25">
      <c r="A70">
        <f>_xlfn.IFNA(INDEX(Clinics[Site],MATCH(Staff[[#This Row],[Location]],Clinics[Location],0)),"")</f>
        <v>24</v>
      </c>
      <c r="B70" t="s">
        <v>12</v>
      </c>
      <c r="C70" t="s">
        <v>236</v>
      </c>
      <c r="D70" t="s">
        <v>124</v>
      </c>
      <c r="E70" t="str">
        <f>IF(Staff[[#This Row],[Employee name]]="",TRUE,"")</f>
        <v/>
      </c>
      <c r="L70" t="b">
        <v>1</v>
      </c>
      <c r="O70" s="7">
        <v>45084.521111111113</v>
      </c>
    </row>
    <row r="71" spans="1:15" x14ac:dyDescent="0.25">
      <c r="A71">
        <f>_xlfn.IFNA(INDEX(Clinics[Site],MATCH(Staff[[#This Row],[Location]],Clinics[Location],0)),"")</f>
        <v>24</v>
      </c>
      <c r="B71" t="s">
        <v>12</v>
      </c>
      <c r="D71" t="s">
        <v>124</v>
      </c>
      <c r="E71" t="b">
        <f>IF(Staff[[#This Row],[Employee name]]="",TRUE,"")</f>
        <v>1</v>
      </c>
      <c r="O71" s="7">
        <v>45084.521111111113</v>
      </c>
    </row>
    <row r="72" spans="1:15" x14ac:dyDescent="0.25">
      <c r="A72">
        <f>_xlfn.IFNA(INDEX(Clinics[Site],MATCH(Staff[[#This Row],[Location]],Clinics[Location],0)),"")</f>
        <v>24</v>
      </c>
      <c r="B72" t="s">
        <v>12</v>
      </c>
      <c r="D72" t="s">
        <v>124</v>
      </c>
      <c r="E72" t="b">
        <f>IF(Staff[[#This Row],[Employee name]]="",TRUE,"")</f>
        <v>1</v>
      </c>
      <c r="O72" s="7">
        <v>45084.521111111113</v>
      </c>
    </row>
    <row r="73" spans="1:15" x14ac:dyDescent="0.25">
      <c r="A73">
        <f>_xlfn.IFNA(INDEX(Clinics[Site],MATCH(Staff[[#This Row],[Location]],Clinics[Location],0)),"")</f>
        <v>24</v>
      </c>
      <c r="B73" t="s">
        <v>12</v>
      </c>
      <c r="C73" t="s">
        <v>237</v>
      </c>
      <c r="D73" t="s">
        <v>80</v>
      </c>
      <c r="E73" t="str">
        <f>IF(Staff[[#This Row],[Employee name]]="",TRUE,"")</f>
        <v/>
      </c>
      <c r="O73" s="7">
        <v>45084.521111111113</v>
      </c>
    </row>
    <row r="74" spans="1:15" x14ac:dyDescent="0.25">
      <c r="A74">
        <f>_xlfn.IFNA(INDEX(Clinics[Site],MATCH(Staff[[#This Row],[Location]],Clinics[Location],0)),"")</f>
        <v>24</v>
      </c>
      <c r="B74" t="s">
        <v>12</v>
      </c>
      <c r="C74" t="s">
        <v>238</v>
      </c>
      <c r="D74" t="s">
        <v>80</v>
      </c>
      <c r="E74" t="str">
        <f>IF(Staff[[#This Row],[Employee name]]="",TRUE,"")</f>
        <v/>
      </c>
      <c r="O74" s="7">
        <v>45084.521111111113</v>
      </c>
    </row>
    <row r="75" spans="1:15" x14ac:dyDescent="0.25">
      <c r="A75">
        <f>_xlfn.IFNA(INDEX(Clinics[Site],MATCH(Staff[[#This Row],[Location]],Clinics[Location],0)),"")</f>
        <v>24</v>
      </c>
      <c r="B75" t="s">
        <v>12</v>
      </c>
      <c r="C75" t="s">
        <v>239</v>
      </c>
      <c r="D75" t="s">
        <v>80</v>
      </c>
      <c r="E75" t="str">
        <f>IF(Staff[[#This Row],[Employee name]]="",TRUE,"")</f>
        <v/>
      </c>
      <c r="O75" s="7">
        <v>45084.521111111113</v>
      </c>
    </row>
    <row r="76" spans="1:15" x14ac:dyDescent="0.25">
      <c r="A76">
        <f>_xlfn.IFNA(INDEX(Clinics[Site],MATCH(Staff[[#This Row],[Location]],Clinics[Location],0)),"")</f>
        <v>42</v>
      </c>
      <c r="B76" t="s">
        <v>29</v>
      </c>
      <c r="C76" t="s">
        <v>121</v>
      </c>
      <c r="D76" t="s">
        <v>2</v>
      </c>
      <c r="E76" t="str">
        <f>IF(Staff[[#This Row],[Employee name]]="",TRUE,"")</f>
        <v/>
      </c>
      <c r="K76" t="b">
        <v>1</v>
      </c>
      <c r="O76" s="7">
        <v>45084.524178240739</v>
      </c>
    </row>
    <row r="77" spans="1:15" x14ac:dyDescent="0.25">
      <c r="A77">
        <f>_xlfn.IFNA(INDEX(Clinics[Site],MATCH(Staff[[#This Row],[Location]],Clinics[Location],0)),"")</f>
        <v>42</v>
      </c>
      <c r="B77" t="s">
        <v>29</v>
      </c>
      <c r="C77" t="s">
        <v>120</v>
      </c>
      <c r="D77" t="s">
        <v>33</v>
      </c>
      <c r="E77" t="str">
        <f>IF(Staff[[#This Row],[Employee name]]="",TRUE,"")</f>
        <v/>
      </c>
      <c r="G77" t="b">
        <v>1</v>
      </c>
      <c r="K77" t="b">
        <v>1</v>
      </c>
      <c r="O77" s="7">
        <v>45084.524178240739</v>
      </c>
    </row>
    <row r="78" spans="1:15" x14ac:dyDescent="0.25">
      <c r="A78">
        <f>_xlfn.IFNA(INDEX(Clinics[Site],MATCH(Staff[[#This Row],[Location]],Clinics[Location],0)),"")</f>
        <v>10</v>
      </c>
      <c r="B78" t="s">
        <v>17</v>
      </c>
      <c r="C78" t="s">
        <v>119</v>
      </c>
      <c r="D78" t="s">
        <v>2</v>
      </c>
      <c r="E78" t="str">
        <f>IF(Staff[[#This Row],[Employee name]]="",TRUE,"")</f>
        <v/>
      </c>
      <c r="K78" t="b">
        <v>1</v>
      </c>
      <c r="O78" s="7">
        <v>45084.524259259262</v>
      </c>
    </row>
    <row r="79" spans="1:15" x14ac:dyDescent="0.25">
      <c r="A79">
        <f>_xlfn.IFNA(INDEX(Clinics[Site],MATCH(Staff[[#This Row],[Location]],Clinics[Location],0)),"")</f>
        <v>10</v>
      </c>
      <c r="B79" t="s">
        <v>17</v>
      </c>
      <c r="C79" t="s">
        <v>120</v>
      </c>
      <c r="D79" t="s">
        <v>33</v>
      </c>
      <c r="E79" t="str">
        <f>IF(Staff[[#This Row],[Employee name]]="",TRUE,"")</f>
        <v/>
      </c>
      <c r="G79" t="b">
        <v>1</v>
      </c>
      <c r="K79" t="b">
        <v>1</v>
      </c>
      <c r="O79" s="7">
        <v>45084.524259259262</v>
      </c>
    </row>
    <row r="80" spans="1:15" x14ac:dyDescent="0.25">
      <c r="A80">
        <f>_xlfn.IFNA(INDEX(Clinics[Site],MATCH(Staff[[#This Row],[Location]],Clinics[Location],0)),"")</f>
        <v>5</v>
      </c>
      <c r="B80" t="s">
        <v>10</v>
      </c>
      <c r="C80" t="s">
        <v>87</v>
      </c>
      <c r="D80" t="s">
        <v>34</v>
      </c>
      <c r="E80" t="str">
        <f>IF(Staff[[#This Row],[Employee name]]="",TRUE,"")</f>
        <v/>
      </c>
      <c r="O80" s="7">
        <v>45085.476307870369</v>
      </c>
    </row>
    <row r="81" spans="1:15" x14ac:dyDescent="0.25">
      <c r="A81">
        <f>_xlfn.IFNA(INDEX(Clinics[Site],MATCH(Staff[[#This Row],[Location]],Clinics[Location],0)),"")</f>
        <v>5</v>
      </c>
      <c r="B81" t="s">
        <v>10</v>
      </c>
      <c r="C81" t="s">
        <v>88</v>
      </c>
      <c r="D81" t="s">
        <v>34</v>
      </c>
      <c r="E81" t="str">
        <f>IF(Staff[[#This Row],[Employee name]]="",TRUE,"")</f>
        <v/>
      </c>
      <c r="O81" s="7">
        <v>45085.476307870369</v>
      </c>
    </row>
    <row r="82" spans="1:15" x14ac:dyDescent="0.25">
      <c r="A82">
        <f>_xlfn.IFNA(INDEX(Clinics[Site],MATCH(Staff[[#This Row],[Location]],Clinics[Location],0)),"")</f>
        <v>5</v>
      </c>
      <c r="B82" t="s">
        <v>10</v>
      </c>
      <c r="C82" t="s">
        <v>89</v>
      </c>
      <c r="D82" t="s">
        <v>34</v>
      </c>
      <c r="E82" t="str">
        <f>IF(Staff[[#This Row],[Employee name]]="",TRUE,"")</f>
        <v/>
      </c>
      <c r="O82" s="7">
        <v>45085.476307870369</v>
      </c>
    </row>
    <row r="83" spans="1:15" x14ac:dyDescent="0.25">
      <c r="A83">
        <f>_xlfn.IFNA(INDEX(Clinics[Site],MATCH(Staff[[#This Row],[Location]],Clinics[Location],0)),"")</f>
        <v>5</v>
      </c>
      <c r="B83" t="s">
        <v>10</v>
      </c>
      <c r="C83" t="s">
        <v>90</v>
      </c>
      <c r="D83" t="s">
        <v>2</v>
      </c>
      <c r="E83" t="str">
        <f>IF(Staff[[#This Row],[Employee name]]="",TRUE,"")</f>
        <v/>
      </c>
      <c r="O83" s="7">
        <v>45085.476307870369</v>
      </c>
    </row>
    <row r="84" spans="1:15" x14ac:dyDescent="0.25">
      <c r="A84">
        <f>_xlfn.IFNA(INDEX(Clinics[Site],MATCH(Staff[[#This Row],[Location]],Clinics[Location],0)),"")</f>
        <v>5</v>
      </c>
      <c r="B84" t="s">
        <v>10</v>
      </c>
      <c r="C84" t="s">
        <v>91</v>
      </c>
      <c r="D84" t="s">
        <v>4</v>
      </c>
      <c r="E84" t="str">
        <f>IF(Staff[[#This Row],[Employee name]]="",TRUE,"")</f>
        <v/>
      </c>
      <c r="O84" s="7">
        <v>45085.476307870369</v>
      </c>
    </row>
    <row r="85" spans="1:15" x14ac:dyDescent="0.25">
      <c r="A85">
        <f>_xlfn.IFNA(INDEX(Clinics[Site],MATCH(Staff[[#This Row],[Location]],Clinics[Location],0)),"")</f>
        <v>5</v>
      </c>
      <c r="B85" t="s">
        <v>10</v>
      </c>
      <c r="C85" t="s">
        <v>92</v>
      </c>
      <c r="D85" t="s">
        <v>4</v>
      </c>
      <c r="E85" t="str">
        <f>IF(Staff[[#This Row],[Employee name]]="",TRUE,"")</f>
        <v/>
      </c>
      <c r="H85" t="b">
        <v>1</v>
      </c>
      <c r="O85" s="7">
        <v>45085.476307870369</v>
      </c>
    </row>
    <row r="86" spans="1:15" x14ac:dyDescent="0.25">
      <c r="A86">
        <f>_xlfn.IFNA(INDEX(Clinics[Site],MATCH(Staff[[#This Row],[Location]],Clinics[Location],0)),"")</f>
        <v>5</v>
      </c>
      <c r="B86" t="s">
        <v>10</v>
      </c>
      <c r="C86" t="s">
        <v>93</v>
      </c>
      <c r="D86" t="s">
        <v>33</v>
      </c>
      <c r="E86" t="str">
        <f>IF(Staff[[#This Row],[Employee name]]="",TRUE,"")</f>
        <v/>
      </c>
      <c r="O86" s="7">
        <v>45085.476307870369</v>
      </c>
    </row>
    <row r="87" spans="1:15" x14ac:dyDescent="0.25">
      <c r="A87">
        <f>_xlfn.IFNA(INDEX(Clinics[Site],MATCH(Staff[[#This Row],[Location]],Clinics[Location],0)),"")</f>
        <v>5</v>
      </c>
      <c r="B87" t="s">
        <v>10</v>
      </c>
      <c r="C87" t="s">
        <v>94</v>
      </c>
      <c r="D87" t="s">
        <v>33</v>
      </c>
      <c r="E87" t="str">
        <f>IF(Staff[[#This Row],[Employee name]]="",TRUE,"")</f>
        <v/>
      </c>
      <c r="O87" s="7">
        <v>45085.476307870369</v>
      </c>
    </row>
    <row r="88" spans="1:15" x14ac:dyDescent="0.25">
      <c r="A88">
        <f>_xlfn.IFNA(INDEX(Clinics[Site],MATCH(Staff[[#This Row],[Location]],Clinics[Location],0)),"")</f>
        <v>5</v>
      </c>
      <c r="B88" t="s">
        <v>10</v>
      </c>
      <c r="C88" t="s">
        <v>95</v>
      </c>
      <c r="D88" t="s">
        <v>33</v>
      </c>
      <c r="E88" t="str">
        <f>IF(Staff[[#This Row],[Employee name]]="",TRUE,"")</f>
        <v/>
      </c>
      <c r="O88" s="7">
        <v>45085.476307870369</v>
      </c>
    </row>
    <row r="89" spans="1:15" x14ac:dyDescent="0.25">
      <c r="A89">
        <f>_xlfn.IFNA(INDEX(Clinics[Site],MATCH(Staff[[#This Row],[Location]],Clinics[Location],0)),"")</f>
        <v>5</v>
      </c>
      <c r="B89" t="s">
        <v>10</v>
      </c>
      <c r="C89" t="s">
        <v>96</v>
      </c>
      <c r="D89" t="s">
        <v>33</v>
      </c>
      <c r="E89" t="str">
        <f>IF(Staff[[#This Row],[Employee name]]="",TRUE,"")</f>
        <v/>
      </c>
      <c r="O89" s="7">
        <v>45085.476307870369</v>
      </c>
    </row>
    <row r="90" spans="1:15" x14ac:dyDescent="0.25">
      <c r="A90">
        <f>_xlfn.IFNA(INDEX(Clinics[Site],MATCH(Staff[[#This Row],[Location]],Clinics[Location],0)),"")</f>
        <v>5</v>
      </c>
      <c r="B90" t="s">
        <v>10</v>
      </c>
      <c r="C90" t="s">
        <v>97</v>
      </c>
      <c r="D90" t="s">
        <v>33</v>
      </c>
      <c r="E90" t="str">
        <f>IF(Staff[[#This Row],[Employee name]]="",TRUE,"")</f>
        <v/>
      </c>
      <c r="G90" t="b">
        <v>1</v>
      </c>
      <c r="O90" s="7">
        <v>45085.476307870369</v>
      </c>
    </row>
    <row r="91" spans="1:15" x14ac:dyDescent="0.25">
      <c r="A91">
        <f>_xlfn.IFNA(INDEX(Clinics[Site],MATCH(Staff[[#This Row],[Location]],Clinics[Location],0)),"")</f>
        <v>5</v>
      </c>
      <c r="B91" t="s">
        <v>10</v>
      </c>
      <c r="C91" t="s">
        <v>98</v>
      </c>
      <c r="D91" t="s">
        <v>33</v>
      </c>
      <c r="E91" t="str">
        <f>IF(Staff[[#This Row],[Employee name]]="",TRUE,"")</f>
        <v/>
      </c>
      <c r="O91" s="7">
        <v>45085.476307870369</v>
      </c>
    </row>
    <row r="92" spans="1:15" x14ac:dyDescent="0.25">
      <c r="A92">
        <f>_xlfn.IFNA(INDEX(Clinics[Site],MATCH(Staff[[#This Row],[Location]],Clinics[Location],0)),"")</f>
        <v>5</v>
      </c>
      <c r="B92" t="s">
        <v>10</v>
      </c>
      <c r="C92" t="s">
        <v>99</v>
      </c>
      <c r="D92" t="s">
        <v>33</v>
      </c>
      <c r="E92" t="str">
        <f>IF(Staff[[#This Row],[Employee name]]="",TRUE,"")</f>
        <v/>
      </c>
      <c r="L92" t="b">
        <v>1</v>
      </c>
      <c r="O92" s="7">
        <v>45085.476307870369</v>
      </c>
    </row>
    <row r="93" spans="1:15" x14ac:dyDescent="0.25">
      <c r="A93">
        <f>_xlfn.IFNA(INDEX(Clinics[Site],MATCH(Staff[[#This Row],[Location]],Clinics[Location],0)),"")</f>
        <v>5</v>
      </c>
      <c r="B93" t="s">
        <v>10</v>
      </c>
      <c r="C93" t="s">
        <v>100</v>
      </c>
      <c r="D93" t="s">
        <v>33</v>
      </c>
      <c r="E93" t="str">
        <f>IF(Staff[[#This Row],[Employee name]]="",TRUE,"")</f>
        <v/>
      </c>
      <c r="L93" t="b">
        <v>1</v>
      </c>
      <c r="O93" s="7">
        <v>45085.476307870369</v>
      </c>
    </row>
    <row r="94" spans="1:15" x14ac:dyDescent="0.25">
      <c r="A94">
        <f>_xlfn.IFNA(INDEX(Clinics[Site],MATCH(Staff[[#This Row],[Location]],Clinics[Location],0)),"")</f>
        <v>5</v>
      </c>
      <c r="B94" t="s">
        <v>10</v>
      </c>
      <c r="C94" t="s">
        <v>101</v>
      </c>
      <c r="D94" t="s">
        <v>34</v>
      </c>
      <c r="E94" t="str">
        <f>IF(Staff[[#This Row],[Employee name]]="",TRUE,"")</f>
        <v/>
      </c>
      <c r="L94" t="b">
        <v>1</v>
      </c>
      <c r="O94" s="7">
        <v>45085.476307870369</v>
      </c>
    </row>
    <row r="95" spans="1:15" x14ac:dyDescent="0.25">
      <c r="A95">
        <f>_xlfn.IFNA(INDEX(Clinics[Site],MATCH(Staff[[#This Row],[Location]],Clinics[Location],0)),"")</f>
        <v>5</v>
      </c>
      <c r="B95" t="s">
        <v>10</v>
      </c>
      <c r="C95" t="s">
        <v>85</v>
      </c>
      <c r="D95" t="s">
        <v>32</v>
      </c>
      <c r="E95" t="str">
        <f>IF(Staff[[#This Row],[Employee name]]="",TRUE,"")</f>
        <v/>
      </c>
      <c r="O95" s="7">
        <v>45085.476307870369</v>
      </c>
    </row>
    <row r="96" spans="1:15" x14ac:dyDescent="0.25">
      <c r="A96">
        <f>_xlfn.IFNA(INDEX(Clinics[Site],MATCH(Staff[[#This Row],[Location]],Clinics[Location],0)),"")</f>
        <v>5</v>
      </c>
      <c r="B96" t="s">
        <v>10</v>
      </c>
      <c r="C96" t="s">
        <v>86</v>
      </c>
      <c r="D96" t="s">
        <v>32</v>
      </c>
      <c r="E96" t="str">
        <f>IF(Staff[[#This Row],[Employee name]]="",TRUE,"")</f>
        <v/>
      </c>
      <c r="O96" s="7">
        <v>45085.476307870369</v>
      </c>
    </row>
    <row r="97" spans="1:15" x14ac:dyDescent="0.25">
      <c r="A97">
        <f>_xlfn.IFNA(INDEX(Clinics[Site],MATCH(Staff[[#This Row],[Location]],Clinics[Location],0)),"")</f>
        <v>5</v>
      </c>
      <c r="B97" t="s">
        <v>10</v>
      </c>
      <c r="C97" t="s">
        <v>86</v>
      </c>
      <c r="D97" t="s">
        <v>32</v>
      </c>
      <c r="E97" t="str">
        <f>IF(Staff[[#This Row],[Employee name]]="",TRUE,"")</f>
        <v/>
      </c>
      <c r="O97" s="7">
        <v>45085.476307870369</v>
      </c>
    </row>
    <row r="98" spans="1:15" x14ac:dyDescent="0.25">
      <c r="A98">
        <f>_xlfn.IFNA(INDEX(Clinics[Site],MATCH(Staff[[#This Row],[Location]],Clinics[Location],0)),"")</f>
        <v>5</v>
      </c>
      <c r="B98" t="s">
        <v>10</v>
      </c>
      <c r="D98" t="s">
        <v>124</v>
      </c>
      <c r="E98" t="b">
        <f>IF(Staff[[#This Row],[Employee name]]="",TRUE,"")</f>
        <v>1</v>
      </c>
      <c r="O98" s="7">
        <v>45085.476307870369</v>
      </c>
    </row>
    <row r="99" spans="1:15" x14ac:dyDescent="0.25">
      <c r="A99">
        <f>_xlfn.IFNA(INDEX(Clinics[Site],MATCH(Staff[[#This Row],[Location]],Clinics[Location],0)),"")</f>
        <v>5</v>
      </c>
      <c r="B99" t="s">
        <v>10</v>
      </c>
      <c r="D99" t="s">
        <v>122</v>
      </c>
      <c r="E99" t="b">
        <f>IF(Staff[[#This Row],[Employee name]]="",TRUE,"")</f>
        <v>1</v>
      </c>
      <c r="O99" s="7">
        <v>45085.476307870369</v>
      </c>
    </row>
    <row r="100" spans="1:15" x14ac:dyDescent="0.25">
      <c r="A100">
        <f>_xlfn.IFNA(INDEX(Clinics[Site],MATCH(Staff[[#This Row],[Location]],Clinics[Location],0)),"")</f>
        <v>5</v>
      </c>
      <c r="B100" t="s">
        <v>10</v>
      </c>
      <c r="D100" t="s">
        <v>133</v>
      </c>
      <c r="E100" t="b">
        <f>IF(Staff[[#This Row],[Employee name]]="",TRUE,"")</f>
        <v>1</v>
      </c>
      <c r="O100" s="7">
        <v>45085.476307870369</v>
      </c>
    </row>
    <row r="101" spans="1:15" x14ac:dyDescent="0.25">
      <c r="A101">
        <f>_xlfn.IFNA(INDEX(Clinics[Site],MATCH(Staff[[#This Row],[Location]],Clinics[Location],0)),"")</f>
        <v>0</v>
      </c>
      <c r="B101" t="s">
        <v>1</v>
      </c>
      <c r="C101" t="s">
        <v>215</v>
      </c>
      <c r="D101" t="s">
        <v>39</v>
      </c>
      <c r="E101" t="str">
        <f>IF(Staff[[#This Row],[Employee name]]="",TRUE,"")</f>
        <v/>
      </c>
      <c r="O101" s="7">
        <v>45085.482256944444</v>
      </c>
    </row>
    <row r="102" spans="1:15" x14ac:dyDescent="0.25">
      <c r="A102">
        <f>_xlfn.IFNA(INDEX(Clinics[Site],MATCH(Staff[[#This Row],[Location]],Clinics[Location],0)),"")</f>
        <v>0</v>
      </c>
      <c r="B102" t="s">
        <v>1</v>
      </c>
      <c r="C102" t="s">
        <v>299</v>
      </c>
      <c r="D102" t="s">
        <v>40</v>
      </c>
      <c r="E102" t="str">
        <f>IF(Staff[[#This Row],[Employee name]]="",TRUE,"")</f>
        <v/>
      </c>
      <c r="O102" s="7">
        <v>45085.482256944444</v>
      </c>
    </row>
    <row r="103" spans="1:15" x14ac:dyDescent="0.25">
      <c r="A103">
        <f>_xlfn.IFNA(INDEX(Clinics[Site],MATCH(Staff[[#This Row],[Location]],Clinics[Location],0)),"")</f>
        <v>0</v>
      </c>
      <c r="B103" t="s">
        <v>1</v>
      </c>
      <c r="C103" t="s">
        <v>216</v>
      </c>
      <c r="D103" t="s">
        <v>47</v>
      </c>
      <c r="E103" t="str">
        <f>IF(Staff[[#This Row],[Employee name]]="",TRUE,"")</f>
        <v/>
      </c>
      <c r="O103" s="7">
        <v>45085.482256944444</v>
      </c>
    </row>
    <row r="104" spans="1:15" x14ac:dyDescent="0.25">
      <c r="A104">
        <f>_xlfn.IFNA(INDEX(Clinics[Site],MATCH(Staff[[#This Row],[Location]],Clinics[Location],0)),"")</f>
        <v>0</v>
      </c>
      <c r="B104" t="s">
        <v>1</v>
      </c>
      <c r="C104" t="s">
        <v>217</v>
      </c>
      <c r="D104" t="s">
        <v>47</v>
      </c>
      <c r="E104" t="str">
        <f>IF(Staff[[#This Row],[Employee name]]="",TRUE,"")</f>
        <v/>
      </c>
      <c r="O104" s="7">
        <v>45085.482256944444</v>
      </c>
    </row>
    <row r="105" spans="1:15" x14ac:dyDescent="0.25">
      <c r="A105">
        <f>_xlfn.IFNA(INDEX(Clinics[Site],MATCH(Staff[[#This Row],[Location]],Clinics[Location],0)),"")</f>
        <v>0</v>
      </c>
      <c r="B105" t="s">
        <v>1</v>
      </c>
      <c r="C105" t="s">
        <v>299</v>
      </c>
      <c r="D105" t="s">
        <v>47</v>
      </c>
      <c r="E105" t="str">
        <f>IF(Staff[[#This Row],[Employee name]]="",TRUE,"")</f>
        <v/>
      </c>
      <c r="O105" s="7">
        <v>45085.482256944444</v>
      </c>
    </row>
    <row r="106" spans="1:15" x14ac:dyDescent="0.25">
      <c r="A106">
        <f>_xlfn.IFNA(INDEX(Clinics[Site],MATCH(Staff[[#This Row],[Location]],Clinics[Location],0)),"")</f>
        <v>0</v>
      </c>
      <c r="B106" t="s">
        <v>1</v>
      </c>
      <c r="C106" t="s">
        <v>299</v>
      </c>
      <c r="D106" t="s">
        <v>47</v>
      </c>
      <c r="E106" t="str">
        <f>IF(Staff[[#This Row],[Employee name]]="",TRUE,"")</f>
        <v/>
      </c>
      <c r="O106" s="7">
        <v>45085.482256944444</v>
      </c>
    </row>
    <row r="107" spans="1:15" x14ac:dyDescent="0.25">
      <c r="A107">
        <f>_xlfn.IFNA(INDEX(Clinics[Site],MATCH(Staff[[#This Row],[Location]],Clinics[Location],0)),"")</f>
        <v>0</v>
      </c>
      <c r="B107" t="s">
        <v>220</v>
      </c>
      <c r="C107" t="s">
        <v>221</v>
      </c>
      <c r="D107" t="s">
        <v>133</v>
      </c>
      <c r="E107" t="str">
        <f>IF(Staff[[#This Row],[Employee name]]="",TRUE,"")</f>
        <v/>
      </c>
      <c r="O107" s="7">
        <v>45085.482511574075</v>
      </c>
    </row>
    <row r="108" spans="1:15" x14ac:dyDescent="0.25">
      <c r="A108">
        <f>_xlfn.IFNA(INDEX(Clinics[Site],MATCH(Staff[[#This Row],[Location]],Clinics[Location],0)),"")</f>
        <v>0</v>
      </c>
      <c r="B108" t="s">
        <v>220</v>
      </c>
      <c r="C108" t="s">
        <v>222</v>
      </c>
      <c r="D108" t="s">
        <v>45</v>
      </c>
      <c r="E108" t="str">
        <f>IF(Staff[[#This Row],[Employee name]]="",TRUE,"")</f>
        <v/>
      </c>
      <c r="O108" s="7">
        <v>45085.482511574075</v>
      </c>
    </row>
    <row r="109" spans="1:15" x14ac:dyDescent="0.25">
      <c r="A109">
        <f>_xlfn.IFNA(INDEX(Clinics[Site],MATCH(Staff[[#This Row],[Location]],Clinics[Location],0)),"")</f>
        <v>0</v>
      </c>
      <c r="B109" t="s">
        <v>220</v>
      </c>
      <c r="C109" t="s">
        <v>223</v>
      </c>
      <c r="D109" t="s">
        <v>45</v>
      </c>
      <c r="E109" t="str">
        <f>IF(Staff[[#This Row],[Employee name]]="",TRUE,"")</f>
        <v/>
      </c>
      <c r="O109" s="7">
        <v>45085.482511574075</v>
      </c>
    </row>
    <row r="110" spans="1:15" x14ac:dyDescent="0.25">
      <c r="A110">
        <f>_xlfn.IFNA(INDEX(Clinics[Site],MATCH(Staff[[#This Row],[Location]],Clinics[Location],0)),"")</f>
        <v>0</v>
      </c>
      <c r="B110" t="s">
        <v>220</v>
      </c>
      <c r="C110" t="s">
        <v>224</v>
      </c>
      <c r="D110" t="s">
        <v>46</v>
      </c>
      <c r="E110" t="str">
        <f>IF(Staff[[#This Row],[Employee name]]="",TRUE,"")</f>
        <v/>
      </c>
      <c r="O110" s="7">
        <v>45085.482511574075</v>
      </c>
    </row>
    <row r="111" spans="1:15" x14ac:dyDescent="0.25">
      <c r="A111">
        <f>_xlfn.IFNA(INDEX(Clinics[Site],MATCH(Staff[[#This Row],[Location]],Clinics[Location],0)),"")</f>
        <v>0</v>
      </c>
      <c r="B111" t="s">
        <v>220</v>
      </c>
      <c r="C111" t="s">
        <v>216</v>
      </c>
      <c r="D111" t="s">
        <v>47</v>
      </c>
      <c r="E111" t="str">
        <f>IF(Staff[[#This Row],[Employee name]]="",TRUE,"")</f>
        <v/>
      </c>
      <c r="O111" s="7">
        <v>45085.482511574075</v>
      </c>
    </row>
    <row r="112" spans="1:15" x14ac:dyDescent="0.25">
      <c r="A112">
        <f>_xlfn.IFNA(INDEX(Clinics[Site],MATCH(Staff[[#This Row],[Location]],Clinics[Location],0)),"")</f>
        <v>25</v>
      </c>
      <c r="B112" t="s">
        <v>18</v>
      </c>
      <c r="C112" t="s">
        <v>171</v>
      </c>
      <c r="D112" t="s">
        <v>32</v>
      </c>
      <c r="E112" t="str">
        <f>IF(Staff[[#This Row],[Employee name]]="",TRUE,"")</f>
        <v/>
      </c>
      <c r="O112" s="7">
        <v>45085.495416666665</v>
      </c>
    </row>
    <row r="113" spans="1:15" x14ac:dyDescent="0.25">
      <c r="A113">
        <f>_xlfn.IFNA(INDEX(Clinics[Site],MATCH(Staff[[#This Row],[Location]],Clinics[Location],0)),"")</f>
        <v>25</v>
      </c>
      <c r="B113" t="s">
        <v>18</v>
      </c>
      <c r="C113" t="s">
        <v>172</v>
      </c>
      <c r="D113" t="s">
        <v>32</v>
      </c>
      <c r="E113" t="str">
        <f>IF(Staff[[#This Row],[Employee name]]="",TRUE,"")</f>
        <v/>
      </c>
      <c r="J113" t="b">
        <v>1</v>
      </c>
      <c r="O113" s="7">
        <v>45085.495416666665</v>
      </c>
    </row>
    <row r="114" spans="1:15" x14ac:dyDescent="0.25">
      <c r="A114">
        <f>_xlfn.IFNA(INDEX(Clinics[Site],MATCH(Staff[[#This Row],[Location]],Clinics[Location],0)),"")</f>
        <v>25</v>
      </c>
      <c r="B114" t="s">
        <v>18</v>
      </c>
      <c r="C114" t="s">
        <v>173</v>
      </c>
      <c r="D114" t="s">
        <v>34</v>
      </c>
      <c r="E114" t="str">
        <f>IF(Staff[[#This Row],[Employee name]]="",TRUE,"")</f>
        <v/>
      </c>
      <c r="O114" s="7">
        <v>45085.495416666665</v>
      </c>
    </row>
    <row r="115" spans="1:15" x14ac:dyDescent="0.25">
      <c r="A115">
        <f>_xlfn.IFNA(INDEX(Clinics[Site],MATCH(Staff[[#This Row],[Location]],Clinics[Location],0)),"")</f>
        <v>25</v>
      </c>
      <c r="B115" t="s">
        <v>18</v>
      </c>
      <c r="C115" t="s">
        <v>174</v>
      </c>
      <c r="D115" t="s">
        <v>34</v>
      </c>
      <c r="E115" t="str">
        <f>IF(Staff[[#This Row],[Employee name]]="",TRUE,"")</f>
        <v/>
      </c>
      <c r="O115" s="7">
        <v>45085.495416666665</v>
      </c>
    </row>
    <row r="116" spans="1:15" x14ac:dyDescent="0.25">
      <c r="A116">
        <f>_xlfn.IFNA(INDEX(Clinics[Site],MATCH(Staff[[#This Row],[Location]],Clinics[Location],0)),"")</f>
        <v>25</v>
      </c>
      <c r="B116" t="s">
        <v>18</v>
      </c>
      <c r="C116" t="s">
        <v>175</v>
      </c>
      <c r="D116" t="s">
        <v>2</v>
      </c>
      <c r="E116" t="str">
        <f>IF(Staff[[#This Row],[Employee name]]="",TRUE,"")</f>
        <v/>
      </c>
      <c r="O116" s="7">
        <v>45085.495416666665</v>
      </c>
    </row>
    <row r="117" spans="1:15" x14ac:dyDescent="0.25">
      <c r="A117">
        <f>_xlfn.IFNA(INDEX(Clinics[Site],MATCH(Staff[[#This Row],[Location]],Clinics[Location],0)),"")</f>
        <v>25</v>
      </c>
      <c r="B117" t="s">
        <v>18</v>
      </c>
      <c r="C117" t="s">
        <v>176</v>
      </c>
      <c r="D117" t="s">
        <v>169</v>
      </c>
      <c r="E117" t="str">
        <f>IF(Staff[[#This Row],[Employee name]]="",TRUE,"")</f>
        <v/>
      </c>
      <c r="H117" t="b">
        <v>1</v>
      </c>
      <c r="O117" s="7">
        <v>45085.495416666665</v>
      </c>
    </row>
    <row r="118" spans="1:15" x14ac:dyDescent="0.25">
      <c r="A118">
        <f>_xlfn.IFNA(INDEX(Clinics[Site],MATCH(Staff[[#This Row],[Location]],Clinics[Location],0)),"")</f>
        <v>25</v>
      </c>
      <c r="B118" t="s">
        <v>18</v>
      </c>
      <c r="C118" t="s">
        <v>177</v>
      </c>
      <c r="D118" t="s">
        <v>2</v>
      </c>
      <c r="E118" t="str">
        <f>IF(Staff[[#This Row],[Employee name]]="",TRUE,"")</f>
        <v/>
      </c>
      <c r="O118" s="7">
        <v>45085.495416666665</v>
      </c>
    </row>
    <row r="119" spans="1:15" x14ac:dyDescent="0.25">
      <c r="A119">
        <f>_xlfn.IFNA(INDEX(Clinics[Site],MATCH(Staff[[#This Row],[Location]],Clinics[Location],0)),"")</f>
        <v>25</v>
      </c>
      <c r="B119" t="s">
        <v>18</v>
      </c>
      <c r="C119" t="s">
        <v>178</v>
      </c>
      <c r="D119" t="s">
        <v>2</v>
      </c>
      <c r="E119" t="str">
        <f>IF(Staff[[#This Row],[Employee name]]="",TRUE,"")</f>
        <v/>
      </c>
      <c r="H119" t="b">
        <v>1</v>
      </c>
      <c r="O119" s="7">
        <v>45085.495416666665</v>
      </c>
    </row>
    <row r="120" spans="1:15" x14ac:dyDescent="0.25">
      <c r="A120">
        <f>_xlfn.IFNA(INDEX(Clinics[Site],MATCH(Staff[[#This Row],[Location]],Clinics[Location],0)),"")</f>
        <v>25</v>
      </c>
      <c r="B120" t="s">
        <v>18</v>
      </c>
      <c r="C120" t="s">
        <v>179</v>
      </c>
      <c r="D120" t="s">
        <v>4</v>
      </c>
      <c r="E120" t="str">
        <f>IF(Staff[[#This Row],[Employee name]]="",TRUE,"")</f>
        <v/>
      </c>
      <c r="K120" t="b">
        <v>1</v>
      </c>
      <c r="O120" s="7">
        <v>45085.495416666665</v>
      </c>
    </row>
    <row r="121" spans="1:15" x14ac:dyDescent="0.25">
      <c r="A121">
        <f>_xlfn.IFNA(INDEX(Clinics[Site],MATCH(Staff[[#This Row],[Location]],Clinics[Location],0)),"")</f>
        <v>25</v>
      </c>
      <c r="B121" t="s">
        <v>18</v>
      </c>
      <c r="C121" t="s">
        <v>180</v>
      </c>
      <c r="D121" t="s">
        <v>4</v>
      </c>
      <c r="E121" t="str">
        <f>IF(Staff[[#This Row],[Employee name]]="",TRUE,"")</f>
        <v/>
      </c>
      <c r="O121" s="7">
        <v>45085.495416666665</v>
      </c>
    </row>
    <row r="122" spans="1:15" x14ac:dyDescent="0.25">
      <c r="A122">
        <f>_xlfn.IFNA(INDEX(Clinics[Site],MATCH(Staff[[#This Row],[Location]],Clinics[Location],0)),"")</f>
        <v>25</v>
      </c>
      <c r="B122" t="s">
        <v>18</v>
      </c>
      <c r="C122" t="s">
        <v>181</v>
      </c>
      <c r="D122" t="s">
        <v>33</v>
      </c>
      <c r="E122" t="str">
        <f>IF(Staff[[#This Row],[Employee name]]="",TRUE,"")</f>
        <v/>
      </c>
      <c r="O122" s="7">
        <v>45085.495416666665</v>
      </c>
    </row>
    <row r="123" spans="1:15" x14ac:dyDescent="0.25">
      <c r="A123">
        <f>_xlfn.IFNA(INDEX(Clinics[Site],MATCH(Staff[[#This Row],[Location]],Clinics[Location],0)),"")</f>
        <v>25</v>
      </c>
      <c r="B123" t="s">
        <v>18</v>
      </c>
      <c r="C123" t="s">
        <v>182</v>
      </c>
      <c r="D123" t="s">
        <v>33</v>
      </c>
      <c r="E123" t="str">
        <f>IF(Staff[[#This Row],[Employee name]]="",TRUE,"")</f>
        <v/>
      </c>
      <c r="O123" s="7">
        <v>45085.495416666665</v>
      </c>
    </row>
    <row r="124" spans="1:15" x14ac:dyDescent="0.25">
      <c r="A124">
        <f>_xlfn.IFNA(INDEX(Clinics[Site],MATCH(Staff[[#This Row],[Location]],Clinics[Location],0)),"")</f>
        <v>25</v>
      </c>
      <c r="B124" t="s">
        <v>18</v>
      </c>
      <c r="C124" t="s">
        <v>183</v>
      </c>
      <c r="D124" t="s">
        <v>33</v>
      </c>
      <c r="E124" t="str">
        <f>IF(Staff[[#This Row],[Employee name]]="",TRUE,"")</f>
        <v/>
      </c>
      <c r="O124" s="7">
        <v>45085.495416666665</v>
      </c>
    </row>
    <row r="125" spans="1:15" x14ac:dyDescent="0.25">
      <c r="A125">
        <f>_xlfn.IFNA(INDEX(Clinics[Site],MATCH(Staff[[#This Row],[Location]],Clinics[Location],0)),"")</f>
        <v>25</v>
      </c>
      <c r="B125" t="s">
        <v>18</v>
      </c>
      <c r="C125" t="s">
        <v>184</v>
      </c>
      <c r="D125" t="s">
        <v>33</v>
      </c>
      <c r="E125" t="str">
        <f>IF(Staff[[#This Row],[Employee name]]="",TRUE,"")</f>
        <v/>
      </c>
      <c r="O125" s="7">
        <v>45085.495416666665</v>
      </c>
    </row>
    <row r="126" spans="1:15" x14ac:dyDescent="0.25">
      <c r="A126">
        <f>_xlfn.IFNA(INDEX(Clinics[Site],MATCH(Staff[[#This Row],[Location]],Clinics[Location],0)),"")</f>
        <v>25</v>
      </c>
      <c r="B126" t="s">
        <v>18</v>
      </c>
      <c r="C126" t="s">
        <v>185</v>
      </c>
      <c r="D126" t="s">
        <v>33</v>
      </c>
      <c r="E126" t="str">
        <f>IF(Staff[[#This Row],[Employee name]]="",TRUE,"")</f>
        <v/>
      </c>
      <c r="O126" s="7">
        <v>45085.495416666665</v>
      </c>
    </row>
    <row r="127" spans="1:15" x14ac:dyDescent="0.25">
      <c r="A127">
        <f>_xlfn.IFNA(INDEX(Clinics[Site],MATCH(Staff[[#This Row],[Location]],Clinics[Location],0)),"")</f>
        <v>25</v>
      </c>
      <c r="B127" t="s">
        <v>18</v>
      </c>
      <c r="C127" t="s">
        <v>186</v>
      </c>
      <c r="D127" t="s">
        <v>80</v>
      </c>
      <c r="E127" t="str">
        <f>IF(Staff[[#This Row],[Employee name]]="",TRUE,"")</f>
        <v/>
      </c>
      <c r="O127" s="7">
        <v>45085.495416666665</v>
      </c>
    </row>
    <row r="128" spans="1:15" x14ac:dyDescent="0.25">
      <c r="A128">
        <f>_xlfn.IFNA(INDEX(Clinics[Site],MATCH(Staff[[#This Row],[Location]],Clinics[Location],0)),"")</f>
        <v>25</v>
      </c>
      <c r="B128" t="s">
        <v>18</v>
      </c>
      <c r="C128" t="s">
        <v>187</v>
      </c>
      <c r="D128" t="s">
        <v>80</v>
      </c>
      <c r="E128" t="str">
        <f>IF(Staff[[#This Row],[Employee name]]="",TRUE,"")</f>
        <v/>
      </c>
      <c r="O128" s="7">
        <v>45085.495416666665</v>
      </c>
    </row>
    <row r="129" spans="1:15" x14ac:dyDescent="0.25">
      <c r="A129">
        <f>_xlfn.IFNA(INDEX(Clinics[Site],MATCH(Staff[[#This Row],[Location]],Clinics[Location],0)),"")</f>
        <v>25</v>
      </c>
      <c r="B129" t="s">
        <v>18</v>
      </c>
      <c r="C129" t="s">
        <v>188</v>
      </c>
      <c r="D129" t="s">
        <v>80</v>
      </c>
      <c r="E129" t="str">
        <f>IF(Staff[[#This Row],[Employee name]]="",TRUE,"")</f>
        <v/>
      </c>
      <c r="O129" s="7">
        <v>45085.495416666665</v>
      </c>
    </row>
    <row r="130" spans="1:15" x14ac:dyDescent="0.25">
      <c r="A130">
        <f>_xlfn.IFNA(INDEX(Clinics[Site],MATCH(Staff[[#This Row],[Location]],Clinics[Location],0)),"")</f>
        <v>25</v>
      </c>
      <c r="B130" t="s">
        <v>18</v>
      </c>
      <c r="C130" t="s">
        <v>189</v>
      </c>
      <c r="D130" t="s">
        <v>80</v>
      </c>
      <c r="E130" t="str">
        <f>IF(Staff[[#This Row],[Employee name]]="",TRUE,"")</f>
        <v/>
      </c>
      <c r="O130" s="7">
        <v>45085.495416666665</v>
      </c>
    </row>
    <row r="131" spans="1:15" x14ac:dyDescent="0.25">
      <c r="A131">
        <f>_xlfn.IFNA(INDEX(Clinics[Site],MATCH(Staff[[#This Row],[Location]],Clinics[Location],0)),"")</f>
        <v>25</v>
      </c>
      <c r="B131" t="s">
        <v>18</v>
      </c>
      <c r="D131" t="s">
        <v>124</v>
      </c>
      <c r="E131" t="b">
        <f>IF(Staff[[#This Row],[Employee name]]="",TRUE,"")</f>
        <v>1</v>
      </c>
      <c r="O131" s="7">
        <v>45085.495416666665</v>
      </c>
    </row>
    <row r="132" spans="1:15" x14ac:dyDescent="0.25">
      <c r="A132">
        <f>_xlfn.IFNA(INDEX(Clinics[Site],MATCH(Staff[[#This Row],[Location]],Clinics[Location],0)),"")</f>
        <v>25</v>
      </c>
      <c r="B132" t="s">
        <v>18</v>
      </c>
      <c r="D132" t="s">
        <v>124</v>
      </c>
      <c r="E132" t="b">
        <f>IF(Staff[[#This Row],[Employee name]]="",TRUE,"")</f>
        <v>1</v>
      </c>
      <c r="O132" s="7">
        <v>45085.495416666665</v>
      </c>
    </row>
    <row r="133" spans="1:15" x14ac:dyDescent="0.25">
      <c r="A133">
        <f>_xlfn.IFNA(INDEX(Clinics[Site],MATCH(Staff[[#This Row],[Location]],Clinics[Location],0)),"")</f>
        <v>25</v>
      </c>
      <c r="B133" t="s">
        <v>18</v>
      </c>
      <c r="D133" t="s">
        <v>133</v>
      </c>
      <c r="E133" t="b">
        <f>IF(Staff[[#This Row],[Employee name]]="",TRUE,"")</f>
        <v>1</v>
      </c>
      <c r="O133" s="7">
        <v>45085.495416666665</v>
      </c>
    </row>
    <row r="134" spans="1:15" x14ac:dyDescent="0.25">
      <c r="A134">
        <f>_xlfn.IFNA(INDEX(Clinics[Site],MATCH(Staff[[#This Row],[Location]],Clinics[Location],0)),"")</f>
        <v>17</v>
      </c>
      <c r="B134" t="s">
        <v>23</v>
      </c>
      <c r="C134" t="s">
        <v>209</v>
      </c>
      <c r="D134" t="s">
        <v>32</v>
      </c>
      <c r="E134" t="str">
        <f>IF(Staff[[#This Row],[Employee name]]="",TRUE,"")</f>
        <v/>
      </c>
      <c r="J134" t="b">
        <v>1</v>
      </c>
      <c r="O134" s="7">
        <v>45085.496053240742</v>
      </c>
    </row>
    <row r="135" spans="1:15" x14ac:dyDescent="0.25">
      <c r="A135">
        <f>_xlfn.IFNA(INDEX(Clinics[Site],MATCH(Staff[[#This Row],[Location]],Clinics[Location],0)),"")</f>
        <v>17</v>
      </c>
      <c r="B135" t="s">
        <v>23</v>
      </c>
      <c r="C135" t="s">
        <v>210</v>
      </c>
      <c r="D135" t="s">
        <v>2</v>
      </c>
      <c r="E135" t="str">
        <f>IF(Staff[[#This Row],[Employee name]]="",TRUE,"")</f>
        <v/>
      </c>
      <c r="O135" s="7">
        <v>45085.496053240742</v>
      </c>
    </row>
    <row r="136" spans="1:15" x14ac:dyDescent="0.25">
      <c r="A136">
        <f>_xlfn.IFNA(INDEX(Clinics[Site],MATCH(Staff[[#This Row],[Location]],Clinics[Location],0)),"")</f>
        <v>17</v>
      </c>
      <c r="B136" t="s">
        <v>23</v>
      </c>
      <c r="C136" t="s">
        <v>211</v>
      </c>
      <c r="D136" t="s">
        <v>4</v>
      </c>
      <c r="E136" t="str">
        <f>IF(Staff[[#This Row],[Employee name]]="",TRUE,"")</f>
        <v/>
      </c>
      <c r="H136" t="b">
        <v>1</v>
      </c>
      <c r="O136" s="7">
        <v>45085.496053240742</v>
      </c>
    </row>
    <row r="137" spans="1:15" x14ac:dyDescent="0.25">
      <c r="A137">
        <f>_xlfn.IFNA(INDEX(Clinics[Site],MATCH(Staff[[#This Row],[Location]],Clinics[Location],0)),"")</f>
        <v>17</v>
      </c>
      <c r="B137" t="s">
        <v>23</v>
      </c>
      <c r="C137" t="s">
        <v>212</v>
      </c>
      <c r="D137" t="s">
        <v>33</v>
      </c>
      <c r="E137" t="str">
        <f>IF(Staff[[#This Row],[Employee name]]="",TRUE,"")</f>
        <v/>
      </c>
      <c r="O137" s="7">
        <v>45085.496053240742</v>
      </c>
    </row>
    <row r="138" spans="1:15" x14ac:dyDescent="0.25">
      <c r="A138">
        <f>_xlfn.IFNA(INDEX(Clinics[Site],MATCH(Staff[[#This Row],[Location]],Clinics[Location],0)),"")</f>
        <v>17</v>
      </c>
      <c r="B138" t="s">
        <v>23</v>
      </c>
      <c r="C138" t="s">
        <v>213</v>
      </c>
      <c r="D138" t="s">
        <v>124</v>
      </c>
      <c r="E138" t="str">
        <f>IF(Staff[[#This Row],[Employee name]]="",TRUE,"")</f>
        <v/>
      </c>
      <c r="F138" t="b">
        <v>1</v>
      </c>
      <c r="O138" s="7">
        <v>45085.496053240742</v>
      </c>
    </row>
    <row r="139" spans="1:15" x14ac:dyDescent="0.25">
      <c r="A139">
        <f>_xlfn.IFNA(INDEX(Clinics[Site],MATCH(Staff[[#This Row],[Location]],Clinics[Location],0)),"")</f>
        <v>17</v>
      </c>
      <c r="B139" t="s">
        <v>23</v>
      </c>
      <c r="C139" t="s">
        <v>214</v>
      </c>
      <c r="D139" t="s">
        <v>124</v>
      </c>
      <c r="E139" t="str">
        <f>IF(Staff[[#This Row],[Employee name]]="",TRUE,"")</f>
        <v/>
      </c>
      <c r="F139" t="b">
        <v>1</v>
      </c>
      <c r="O139" s="7">
        <v>45085.496053240742</v>
      </c>
    </row>
    <row r="140" spans="1:15" x14ac:dyDescent="0.25">
      <c r="A140">
        <f>_xlfn.IFNA(INDEX(Clinics[Site],MATCH(Staff[[#This Row],[Location]],Clinics[Location],0)),"")</f>
        <v>17</v>
      </c>
      <c r="B140" t="s">
        <v>23</v>
      </c>
      <c r="D140" t="s">
        <v>124</v>
      </c>
      <c r="E140" t="b">
        <f>IF(Staff[[#This Row],[Employee name]]="",TRUE,"")</f>
        <v>1</v>
      </c>
      <c r="O140" s="7">
        <v>45085.496053240742</v>
      </c>
    </row>
    <row r="141" spans="1:15" x14ac:dyDescent="0.25">
      <c r="A141">
        <f>_xlfn.IFNA(INDEX(Clinics[Site],MATCH(Staff[[#This Row],[Location]],Clinics[Location],0)),"")</f>
        <v>17</v>
      </c>
      <c r="B141" t="s">
        <v>23</v>
      </c>
      <c r="D141" t="s">
        <v>124</v>
      </c>
      <c r="E141" t="b">
        <f>IF(Staff[[#This Row],[Employee name]]="",TRUE,"")</f>
        <v>1</v>
      </c>
      <c r="O141" s="7">
        <v>45085.496053240742</v>
      </c>
    </row>
    <row r="142" spans="1:15" x14ac:dyDescent="0.25">
      <c r="A142">
        <f>_xlfn.IFNA(INDEX(Clinics[Site],MATCH(Staff[[#This Row],[Location]],Clinics[Location],0)),"")</f>
        <v>17</v>
      </c>
      <c r="B142" t="s">
        <v>23</v>
      </c>
      <c r="D142" t="s">
        <v>122</v>
      </c>
      <c r="E142" t="b">
        <f>IF(Staff[[#This Row],[Employee name]]="",TRUE,"")</f>
        <v>1</v>
      </c>
      <c r="O142" s="7">
        <v>45085.496053240742</v>
      </c>
    </row>
    <row r="143" spans="1:15" x14ac:dyDescent="0.25">
      <c r="A143">
        <f>_xlfn.IFNA(INDEX(Clinics[Site],MATCH(Staff[[#This Row],[Location]],Clinics[Location],0)),"")</f>
        <v>17</v>
      </c>
      <c r="B143" t="s">
        <v>23</v>
      </c>
      <c r="D143" t="s">
        <v>122</v>
      </c>
      <c r="E143" t="b">
        <f>IF(Staff[[#This Row],[Employee name]]="",TRUE,"")</f>
        <v>1</v>
      </c>
      <c r="O143" s="7">
        <v>45085.496053240742</v>
      </c>
    </row>
    <row r="144" spans="1:15" x14ac:dyDescent="0.25">
      <c r="A144">
        <f>_xlfn.IFNA(INDEX(Clinics[Site],MATCH(Staff[[#This Row],[Location]],Clinics[Location],0)),"")</f>
        <v>30</v>
      </c>
      <c r="B144" t="s">
        <v>19</v>
      </c>
      <c r="C144" t="s">
        <v>209</v>
      </c>
      <c r="D144" t="s">
        <v>32</v>
      </c>
      <c r="E144" t="str">
        <f>IF(Staff[[#This Row],[Employee name]]="",TRUE,"")</f>
        <v/>
      </c>
      <c r="J144" t="b">
        <v>1</v>
      </c>
      <c r="O144" s="7">
        <v>45085.505462962959</v>
      </c>
    </row>
    <row r="145" spans="1:15" x14ac:dyDescent="0.25">
      <c r="A145">
        <f>_xlfn.IFNA(INDEX(Clinics[Site],MATCH(Staff[[#This Row],[Location]],Clinics[Location],0)),"")</f>
        <v>30</v>
      </c>
      <c r="B145" t="s">
        <v>19</v>
      </c>
      <c r="C145" t="s">
        <v>210</v>
      </c>
      <c r="D145" t="s">
        <v>2</v>
      </c>
      <c r="E145" t="str">
        <f>IF(Staff[[#This Row],[Employee name]]="",TRUE,"")</f>
        <v/>
      </c>
      <c r="O145" s="7">
        <v>45085.505462962959</v>
      </c>
    </row>
    <row r="146" spans="1:15" x14ac:dyDescent="0.25">
      <c r="A146">
        <f>_xlfn.IFNA(INDEX(Clinics[Site],MATCH(Staff[[#This Row],[Location]],Clinics[Location],0)),"")</f>
        <v>30</v>
      </c>
      <c r="B146" t="s">
        <v>19</v>
      </c>
      <c r="C146" t="s">
        <v>211</v>
      </c>
      <c r="D146" t="s">
        <v>4</v>
      </c>
      <c r="E146" t="str">
        <f>IF(Staff[[#This Row],[Employee name]]="",TRUE,"")</f>
        <v/>
      </c>
      <c r="H146" t="b">
        <v>1</v>
      </c>
      <c r="O146" s="7">
        <v>45085.505462962959</v>
      </c>
    </row>
    <row r="147" spans="1:15" x14ac:dyDescent="0.25">
      <c r="A147">
        <f>_xlfn.IFNA(INDEX(Clinics[Site],MATCH(Staff[[#This Row],[Location]],Clinics[Location],0)),"")</f>
        <v>30</v>
      </c>
      <c r="B147" t="s">
        <v>19</v>
      </c>
      <c r="C147" t="s">
        <v>212</v>
      </c>
      <c r="D147" t="s">
        <v>33</v>
      </c>
      <c r="E147" t="str">
        <f>IF(Staff[[#This Row],[Employee name]]="",TRUE,"")</f>
        <v/>
      </c>
      <c r="O147" s="7">
        <v>45085.505462962959</v>
      </c>
    </row>
    <row r="148" spans="1:15" x14ac:dyDescent="0.25">
      <c r="A148">
        <f>_xlfn.IFNA(INDEX(Clinics[Site],MATCH(Staff[[#This Row],[Location]],Clinics[Location],0)),"")</f>
        <v>30</v>
      </c>
      <c r="B148" t="s">
        <v>19</v>
      </c>
      <c r="C148" t="s">
        <v>213</v>
      </c>
      <c r="D148" t="s">
        <v>124</v>
      </c>
      <c r="E148" t="str">
        <f>IF(Staff[[#This Row],[Employee name]]="",TRUE,"")</f>
        <v/>
      </c>
      <c r="F148" t="b">
        <v>1</v>
      </c>
      <c r="O148" s="7">
        <v>45085.505462962959</v>
      </c>
    </row>
    <row r="149" spans="1:15" x14ac:dyDescent="0.25">
      <c r="A149">
        <f>_xlfn.IFNA(INDEX(Clinics[Site],MATCH(Staff[[#This Row],[Location]],Clinics[Location],0)),"")</f>
        <v>30</v>
      </c>
      <c r="B149" t="s">
        <v>19</v>
      </c>
      <c r="C149" t="s">
        <v>214</v>
      </c>
      <c r="D149" t="s">
        <v>124</v>
      </c>
      <c r="E149" t="str">
        <f>IF(Staff[[#This Row],[Employee name]]="",TRUE,"")</f>
        <v/>
      </c>
      <c r="F149" t="b">
        <v>1</v>
      </c>
      <c r="O149" s="7">
        <v>45085.505462962959</v>
      </c>
    </row>
    <row r="150" spans="1:15" x14ac:dyDescent="0.25">
      <c r="A150">
        <f>_xlfn.IFNA(INDEX(Clinics[Site],MATCH(Staff[[#This Row],[Location]],Clinics[Location],0)),"")</f>
        <v>30</v>
      </c>
      <c r="B150" t="s">
        <v>19</v>
      </c>
      <c r="D150" t="s">
        <v>122</v>
      </c>
      <c r="E150" t="b">
        <f>IF(Staff[[#This Row],[Employee name]]="",TRUE,"")</f>
        <v>1</v>
      </c>
      <c r="O150" s="7">
        <v>45085.505462962959</v>
      </c>
    </row>
    <row r="151" spans="1:15" x14ac:dyDescent="0.25">
      <c r="A151">
        <f>_xlfn.IFNA(INDEX(Clinics[Site],MATCH(Staff[[#This Row],[Location]],Clinics[Location],0)),"")</f>
        <v>30</v>
      </c>
      <c r="B151" t="s">
        <v>19</v>
      </c>
      <c r="D151" t="s">
        <v>122</v>
      </c>
      <c r="E151" t="b">
        <f>IF(Staff[[#This Row],[Employee name]]="",TRUE,"")</f>
        <v>1</v>
      </c>
      <c r="O151" s="7">
        <v>45085.505462962959</v>
      </c>
    </row>
    <row r="152" spans="1:15" x14ac:dyDescent="0.25">
      <c r="A152">
        <f>_xlfn.IFNA(INDEX(Clinics[Site],MATCH(Staff[[#This Row],[Location]],Clinics[Location],0)),"")</f>
        <v>34</v>
      </c>
      <c r="B152" t="s">
        <v>24</v>
      </c>
      <c r="C152" t="s">
        <v>250</v>
      </c>
      <c r="D152" t="s">
        <v>32</v>
      </c>
      <c r="E152" t="str">
        <f>IF(Staff[[#This Row],[Employee name]]="",TRUE,"")</f>
        <v/>
      </c>
      <c r="I152" t="b">
        <v>1</v>
      </c>
      <c r="O152" s="7">
        <v>45085.507523148146</v>
      </c>
    </row>
    <row r="153" spans="1:15" x14ac:dyDescent="0.25">
      <c r="A153">
        <f>_xlfn.IFNA(INDEX(Clinics[Site],MATCH(Staff[[#This Row],[Location]],Clinics[Location],0)),"")</f>
        <v>34</v>
      </c>
      <c r="B153" t="s">
        <v>24</v>
      </c>
      <c r="C153" t="s">
        <v>251</v>
      </c>
      <c r="D153" t="s">
        <v>72</v>
      </c>
      <c r="E153" t="str">
        <f>IF(Staff[[#This Row],[Employee name]]="",TRUE,"")</f>
        <v/>
      </c>
      <c r="I153" t="b">
        <v>1</v>
      </c>
      <c r="O153" s="7">
        <v>45085.507523148146</v>
      </c>
    </row>
    <row r="154" spans="1:15" x14ac:dyDescent="0.25">
      <c r="A154">
        <f>_xlfn.IFNA(INDEX(Clinics[Site],MATCH(Staff[[#This Row],[Location]],Clinics[Location],0)),"")</f>
        <v>34</v>
      </c>
      <c r="B154" t="s">
        <v>24</v>
      </c>
      <c r="C154" t="s">
        <v>252</v>
      </c>
      <c r="D154" t="s">
        <v>72</v>
      </c>
      <c r="E154" t="str">
        <f>IF(Staff[[#This Row],[Employee name]]="",TRUE,"")</f>
        <v/>
      </c>
      <c r="I154" t="b">
        <v>1</v>
      </c>
      <c r="O154" s="7">
        <v>45085.507523148146</v>
      </c>
    </row>
    <row r="155" spans="1:15" x14ac:dyDescent="0.25">
      <c r="A155">
        <f>_xlfn.IFNA(INDEX(Clinics[Site],MATCH(Staff[[#This Row],[Location]],Clinics[Location],0)),"")</f>
        <v>34</v>
      </c>
      <c r="B155" t="s">
        <v>24</v>
      </c>
      <c r="C155" t="s">
        <v>253</v>
      </c>
      <c r="D155" t="s">
        <v>72</v>
      </c>
      <c r="E155" t="str">
        <f>IF(Staff[[#This Row],[Employee name]]="",TRUE,"")</f>
        <v/>
      </c>
      <c r="I155" t="b">
        <v>1</v>
      </c>
      <c r="O155" s="7">
        <v>45085.507523148146</v>
      </c>
    </row>
    <row r="156" spans="1:15" x14ac:dyDescent="0.25">
      <c r="A156">
        <f>_xlfn.IFNA(INDEX(Clinics[Site],MATCH(Staff[[#This Row],[Location]],Clinics[Location],0)),"")</f>
        <v>34</v>
      </c>
      <c r="B156" t="s">
        <v>24</v>
      </c>
      <c r="C156" t="s">
        <v>254</v>
      </c>
      <c r="D156" t="s">
        <v>72</v>
      </c>
      <c r="E156" t="str">
        <f>IF(Staff[[#This Row],[Employee name]]="",TRUE,"")</f>
        <v/>
      </c>
      <c r="I156" t="b">
        <v>1</v>
      </c>
      <c r="O156" s="7">
        <v>45085.507523148146</v>
      </c>
    </row>
    <row r="157" spans="1:15" x14ac:dyDescent="0.25">
      <c r="A157">
        <f>_xlfn.IFNA(INDEX(Clinics[Site],MATCH(Staff[[#This Row],[Location]],Clinics[Location],0)),"")</f>
        <v>34</v>
      </c>
      <c r="B157" t="s">
        <v>24</v>
      </c>
      <c r="C157" t="s">
        <v>255</v>
      </c>
      <c r="D157" t="s">
        <v>2</v>
      </c>
      <c r="E157" t="str">
        <f>IF(Staff[[#This Row],[Employee name]]="",TRUE,"")</f>
        <v/>
      </c>
      <c r="H157" t="b">
        <v>1</v>
      </c>
      <c r="O157" s="7">
        <v>45085.507523148146</v>
      </c>
    </row>
    <row r="158" spans="1:15" x14ac:dyDescent="0.25">
      <c r="A158">
        <f>_xlfn.IFNA(INDEX(Clinics[Site],MATCH(Staff[[#This Row],[Location]],Clinics[Location],0)),"")</f>
        <v>34</v>
      </c>
      <c r="B158" t="s">
        <v>24</v>
      </c>
      <c r="C158" t="s">
        <v>256</v>
      </c>
      <c r="D158" t="s">
        <v>33</v>
      </c>
      <c r="E158" t="str">
        <f>IF(Staff[[#This Row],[Employee name]]="",TRUE,"")</f>
        <v/>
      </c>
      <c r="H158" t="b">
        <v>1</v>
      </c>
      <c r="O158" s="7">
        <v>45085.507523148146</v>
      </c>
    </row>
    <row r="159" spans="1:15" x14ac:dyDescent="0.25">
      <c r="A159">
        <f>_xlfn.IFNA(INDEX(Clinics[Site],MATCH(Staff[[#This Row],[Location]],Clinics[Location],0)),"")</f>
        <v>34</v>
      </c>
      <c r="B159" t="s">
        <v>24</v>
      </c>
      <c r="C159" t="s">
        <v>257</v>
      </c>
      <c r="D159" t="s">
        <v>4</v>
      </c>
      <c r="E159" t="str">
        <f>IF(Staff[[#This Row],[Employee name]]="",TRUE,"")</f>
        <v/>
      </c>
      <c r="H159" t="b">
        <v>1</v>
      </c>
      <c r="O159" s="7">
        <v>45085.507523148146</v>
      </c>
    </row>
    <row r="160" spans="1:15" x14ac:dyDescent="0.25">
      <c r="A160">
        <f>_xlfn.IFNA(INDEX(Clinics[Site],MATCH(Staff[[#This Row],[Location]],Clinics[Location],0)),"")</f>
        <v>11</v>
      </c>
      <c r="B160" t="s">
        <v>13</v>
      </c>
      <c r="C160" t="s">
        <v>240</v>
      </c>
      <c r="D160" t="s">
        <v>34</v>
      </c>
      <c r="E160" t="str">
        <f>IF(Staff[[#This Row],[Employee name]]="",TRUE,"")</f>
        <v/>
      </c>
      <c r="O160" s="7">
        <v>45085.512384259258</v>
      </c>
    </row>
    <row r="161" spans="1:15" x14ac:dyDescent="0.25">
      <c r="A161">
        <f>_xlfn.IFNA(INDEX(Clinics[Site],MATCH(Staff[[#This Row],[Location]],Clinics[Location],0)),"")</f>
        <v>11</v>
      </c>
      <c r="B161" t="s">
        <v>13</v>
      </c>
      <c r="C161" t="s">
        <v>241</v>
      </c>
      <c r="D161" t="s">
        <v>32</v>
      </c>
      <c r="E161" t="str">
        <f>IF(Staff[[#This Row],[Employee name]]="",TRUE,"")</f>
        <v/>
      </c>
      <c r="O161" s="7">
        <v>45085.512384259258</v>
      </c>
    </row>
    <row r="162" spans="1:15" x14ac:dyDescent="0.25">
      <c r="A162">
        <f>_xlfn.IFNA(INDEX(Clinics[Site],MATCH(Staff[[#This Row],[Location]],Clinics[Location],0)),"")</f>
        <v>11</v>
      </c>
      <c r="B162" t="s">
        <v>13</v>
      </c>
      <c r="C162" t="s">
        <v>242</v>
      </c>
      <c r="D162" t="s">
        <v>2</v>
      </c>
      <c r="E162" t="str">
        <f>IF(Staff[[#This Row],[Employee name]]="",TRUE,"")</f>
        <v/>
      </c>
      <c r="O162" s="7">
        <v>45085.512384259258</v>
      </c>
    </row>
    <row r="163" spans="1:15" x14ac:dyDescent="0.25">
      <c r="A163">
        <f>_xlfn.IFNA(INDEX(Clinics[Site],MATCH(Staff[[#This Row],[Location]],Clinics[Location],0)),"")</f>
        <v>11</v>
      </c>
      <c r="B163" t="s">
        <v>13</v>
      </c>
      <c r="C163" t="s">
        <v>243</v>
      </c>
      <c r="D163" t="s">
        <v>2</v>
      </c>
      <c r="E163" t="str">
        <f>IF(Staff[[#This Row],[Employee name]]="",TRUE,"")</f>
        <v/>
      </c>
      <c r="H163" t="b">
        <v>1</v>
      </c>
      <c r="O163" s="7">
        <v>45085.512384259258</v>
      </c>
    </row>
    <row r="164" spans="1:15" x14ac:dyDescent="0.25">
      <c r="A164">
        <f>_xlfn.IFNA(INDEX(Clinics[Site],MATCH(Staff[[#This Row],[Location]],Clinics[Location],0)),"")</f>
        <v>11</v>
      </c>
      <c r="B164" t="s">
        <v>13</v>
      </c>
      <c r="C164" t="s">
        <v>244</v>
      </c>
      <c r="D164" t="s">
        <v>33</v>
      </c>
      <c r="E164" t="str">
        <f>IF(Staff[[#This Row],[Employee name]]="",TRUE,"")</f>
        <v/>
      </c>
      <c r="O164" s="7">
        <v>45085.512384259258</v>
      </c>
    </row>
    <row r="165" spans="1:15" x14ac:dyDescent="0.25">
      <c r="A165">
        <f>_xlfn.IFNA(INDEX(Clinics[Site],MATCH(Staff[[#This Row],[Location]],Clinics[Location],0)),"")</f>
        <v>11</v>
      </c>
      <c r="B165" t="s">
        <v>13</v>
      </c>
      <c r="C165" t="s">
        <v>245</v>
      </c>
      <c r="D165" t="s">
        <v>33</v>
      </c>
      <c r="E165" t="str">
        <f>IF(Staff[[#This Row],[Employee name]]="",TRUE,"")</f>
        <v/>
      </c>
      <c r="G165" t="b">
        <v>1</v>
      </c>
      <c r="O165" s="7">
        <v>45085.512384259258</v>
      </c>
    </row>
    <row r="166" spans="1:15" x14ac:dyDescent="0.25">
      <c r="A166">
        <f>_xlfn.IFNA(INDEX(Clinics[Site],MATCH(Staff[[#This Row],[Location]],Clinics[Location],0)),"")</f>
        <v>11</v>
      </c>
      <c r="B166" t="s">
        <v>13</v>
      </c>
      <c r="C166" t="s">
        <v>246</v>
      </c>
      <c r="D166" t="s">
        <v>33</v>
      </c>
      <c r="E166" t="str">
        <f>IF(Staff[[#This Row],[Employee name]]="",TRUE,"")</f>
        <v/>
      </c>
      <c r="O166" s="7">
        <v>45085.512384259258</v>
      </c>
    </row>
    <row r="167" spans="1:15" x14ac:dyDescent="0.25">
      <c r="A167">
        <f>_xlfn.IFNA(INDEX(Clinics[Site],MATCH(Staff[[#This Row],[Location]],Clinics[Location],0)),"")</f>
        <v>11</v>
      </c>
      <c r="B167" t="s">
        <v>13</v>
      </c>
      <c r="C167" t="s">
        <v>247</v>
      </c>
      <c r="D167" t="s">
        <v>124</v>
      </c>
      <c r="E167" t="str">
        <f>IF(Staff[[#This Row],[Employee name]]="",TRUE,"")</f>
        <v/>
      </c>
      <c r="L167" t="b">
        <v>1</v>
      </c>
      <c r="O167" s="7">
        <v>45085.512384259258</v>
      </c>
    </row>
    <row r="168" spans="1:15" x14ac:dyDescent="0.25">
      <c r="A168">
        <f>_xlfn.IFNA(INDEX(Clinics[Site],MATCH(Staff[[#This Row],[Location]],Clinics[Location],0)),"")</f>
        <v>11</v>
      </c>
      <c r="B168" t="s">
        <v>13</v>
      </c>
      <c r="C168" t="s">
        <v>248</v>
      </c>
      <c r="D168" t="s">
        <v>124</v>
      </c>
      <c r="E168" t="str">
        <f>IF(Staff[[#This Row],[Employee name]]="",TRUE,"")</f>
        <v/>
      </c>
      <c r="F168" t="b">
        <v>1</v>
      </c>
      <c r="L168" t="b">
        <v>1</v>
      </c>
      <c r="O168" s="7">
        <v>45085.512384259258</v>
      </c>
    </row>
    <row r="169" spans="1:15" x14ac:dyDescent="0.25">
      <c r="A169">
        <f>_xlfn.IFNA(INDEX(Clinics[Site],MATCH(Staff[[#This Row],[Location]],Clinics[Location],0)),"")</f>
        <v>11</v>
      </c>
      <c r="B169" t="s">
        <v>13</v>
      </c>
      <c r="C169" t="s">
        <v>249</v>
      </c>
      <c r="D169" t="s">
        <v>124</v>
      </c>
      <c r="E169" t="str">
        <f>IF(Staff[[#This Row],[Employee name]]="",TRUE,"")</f>
        <v/>
      </c>
      <c r="F169" t="b">
        <v>1</v>
      </c>
      <c r="L169" t="b">
        <v>1</v>
      </c>
      <c r="O169" s="7">
        <v>45085.512384259258</v>
      </c>
    </row>
    <row r="170" spans="1:15" x14ac:dyDescent="0.25">
      <c r="A170">
        <f>_xlfn.IFNA(INDEX(Clinics[Site],MATCH(Staff[[#This Row],[Location]],Clinics[Location],0)),"")</f>
        <v>11</v>
      </c>
      <c r="B170" t="s">
        <v>13</v>
      </c>
      <c r="D170" t="s">
        <v>124</v>
      </c>
      <c r="E170" t="b">
        <f>IF(Staff[[#This Row],[Employee name]]="",TRUE,"")</f>
        <v>1</v>
      </c>
      <c r="O170" s="7">
        <v>45085.512384259258</v>
      </c>
    </row>
    <row r="171" spans="1:15" x14ac:dyDescent="0.25">
      <c r="A171">
        <f>_xlfn.IFNA(INDEX(Clinics[Site],MATCH(Staff[[#This Row],[Location]],Clinics[Location],0)),"")</f>
        <v>11</v>
      </c>
      <c r="B171" t="s">
        <v>13</v>
      </c>
      <c r="D171" t="s">
        <v>124</v>
      </c>
      <c r="E171" t="b">
        <f>IF(Staff[[#This Row],[Employee name]]="",TRUE,"")</f>
        <v>1</v>
      </c>
      <c r="O171" s="7">
        <v>45085.512384259258</v>
      </c>
    </row>
    <row r="172" spans="1:15" x14ac:dyDescent="0.25">
      <c r="A172">
        <f>_xlfn.IFNA(INDEX(Clinics[Site],MATCH(Staff[[#This Row],[Location]],Clinics[Location],0)),"")</f>
        <v>11</v>
      </c>
      <c r="B172" t="s">
        <v>13</v>
      </c>
      <c r="D172" t="s">
        <v>124</v>
      </c>
      <c r="E172" t="b">
        <f>IF(Staff[[#This Row],[Employee name]]="",TRUE,"")</f>
        <v>1</v>
      </c>
      <c r="O172" s="7">
        <v>45085.512384259258</v>
      </c>
    </row>
    <row r="173" spans="1:15" x14ac:dyDescent="0.25">
      <c r="A173">
        <f>_xlfn.IFNA(INDEX(Clinics[Site],MATCH(Staff[[#This Row],[Location]],Clinics[Location],0)),"")</f>
        <v>11</v>
      </c>
      <c r="B173" t="s">
        <v>13</v>
      </c>
      <c r="D173" t="s">
        <v>124</v>
      </c>
      <c r="E173" t="b">
        <f>IF(Staff[[#This Row],[Employee name]]="",TRUE,"")</f>
        <v>1</v>
      </c>
      <c r="O173" s="7">
        <v>45085.512384259258</v>
      </c>
    </row>
    <row r="174" spans="1:15" x14ac:dyDescent="0.25">
      <c r="A174">
        <f>_xlfn.IFNA(INDEX(Clinics[Site],MATCH(Staff[[#This Row],[Location]],Clinics[Location],0)),"")</f>
        <v>11</v>
      </c>
      <c r="B174" t="s">
        <v>13</v>
      </c>
      <c r="D174" t="s">
        <v>122</v>
      </c>
      <c r="E174" t="b">
        <f>IF(Staff[[#This Row],[Employee name]]="",TRUE,"")</f>
        <v>1</v>
      </c>
      <c r="O174" s="7">
        <v>45085.512384259258</v>
      </c>
    </row>
    <row r="175" spans="1:15" x14ac:dyDescent="0.25">
      <c r="A175">
        <f>_xlfn.IFNA(INDEX(Clinics[Site],MATCH(Staff[[#This Row],[Location]],Clinics[Location],0)),"")</f>
        <v>11</v>
      </c>
      <c r="B175" t="s">
        <v>13</v>
      </c>
      <c r="D175" t="s">
        <v>133</v>
      </c>
      <c r="E175" t="b">
        <f>IF(Staff[[#This Row],[Employee name]]="",TRUE,"")</f>
        <v>1</v>
      </c>
      <c r="O175" s="7">
        <v>45085.512384259258</v>
      </c>
    </row>
    <row r="176" spans="1:15" x14ac:dyDescent="0.25">
      <c r="A176">
        <f>_xlfn.IFNA(INDEX(Clinics[Site],MATCH(Staff[[#This Row],[Location]],Clinics[Location],0)),"")</f>
        <v>37</v>
      </c>
      <c r="B176" t="s">
        <v>15</v>
      </c>
      <c r="C176" t="s">
        <v>125</v>
      </c>
      <c r="D176" t="s">
        <v>32</v>
      </c>
      <c r="E176" t="str">
        <f>IF(Staff[[#This Row],[Employee name]]="",TRUE,"")</f>
        <v/>
      </c>
      <c r="O176" s="7">
        <v>45091.575868055559</v>
      </c>
    </row>
    <row r="177" spans="1:15" x14ac:dyDescent="0.25">
      <c r="A177">
        <f>_xlfn.IFNA(INDEX(Clinics[Site],MATCH(Staff[[#This Row],[Location]],Clinics[Location],0)),"")</f>
        <v>37</v>
      </c>
      <c r="B177" t="s">
        <v>15</v>
      </c>
      <c r="C177" t="s">
        <v>126</v>
      </c>
      <c r="D177" t="s">
        <v>34</v>
      </c>
      <c r="E177" t="str">
        <f>IF(Staff[[#This Row],[Employee name]]="",TRUE,"")</f>
        <v/>
      </c>
      <c r="O177" s="7">
        <v>45091.575868055559</v>
      </c>
    </row>
    <row r="178" spans="1:15" x14ac:dyDescent="0.25">
      <c r="A178">
        <f>_xlfn.IFNA(INDEX(Clinics[Site],MATCH(Staff[[#This Row],[Location]],Clinics[Location],0)),"")</f>
        <v>37</v>
      </c>
      <c r="B178" t="s">
        <v>15</v>
      </c>
      <c r="C178" t="s">
        <v>127</v>
      </c>
      <c r="D178" t="s">
        <v>4</v>
      </c>
      <c r="E178" t="str">
        <f>IF(Staff[[#This Row],[Employee name]]="",TRUE,"")</f>
        <v/>
      </c>
      <c r="O178" s="7">
        <v>45091.575868055559</v>
      </c>
    </row>
    <row r="179" spans="1:15" x14ac:dyDescent="0.25">
      <c r="A179">
        <f>_xlfn.IFNA(INDEX(Clinics[Site],MATCH(Staff[[#This Row],[Location]],Clinics[Location],0)),"")</f>
        <v>37</v>
      </c>
      <c r="B179" t="s">
        <v>15</v>
      </c>
      <c r="C179" t="s">
        <v>128</v>
      </c>
      <c r="D179" t="s">
        <v>4</v>
      </c>
      <c r="E179" t="str">
        <f>IF(Staff[[#This Row],[Employee name]]="",TRUE,"")</f>
        <v/>
      </c>
      <c r="O179" s="7">
        <v>45091.575868055559</v>
      </c>
    </row>
    <row r="180" spans="1:15" x14ac:dyDescent="0.25">
      <c r="A180">
        <f>_xlfn.IFNA(INDEX(Clinics[Site],MATCH(Staff[[#This Row],[Location]],Clinics[Location],0)),"")</f>
        <v>37</v>
      </c>
      <c r="B180" t="s">
        <v>15</v>
      </c>
      <c r="C180" t="s">
        <v>129</v>
      </c>
      <c r="D180" t="s">
        <v>4</v>
      </c>
      <c r="E180" t="str">
        <f>IF(Staff[[#This Row],[Employee name]]="",TRUE,"")</f>
        <v/>
      </c>
      <c r="O180" s="7">
        <v>45091.575868055559</v>
      </c>
    </row>
    <row r="181" spans="1:15" x14ac:dyDescent="0.25">
      <c r="A181">
        <f>_xlfn.IFNA(INDEX(Clinics[Site],MATCH(Staff[[#This Row],[Location]],Clinics[Location],0)),"")</f>
        <v>37</v>
      </c>
      <c r="B181" t="s">
        <v>15</v>
      </c>
      <c r="C181" t="s">
        <v>130</v>
      </c>
      <c r="D181" t="s">
        <v>4</v>
      </c>
      <c r="E181" t="str">
        <f>IF(Staff[[#This Row],[Employee name]]="",TRUE,"")</f>
        <v/>
      </c>
      <c r="O181" s="7">
        <v>45091.575868055559</v>
      </c>
    </row>
    <row r="182" spans="1:15" x14ac:dyDescent="0.25">
      <c r="A182">
        <f>_xlfn.IFNA(INDEX(Clinics[Site],MATCH(Staff[[#This Row],[Location]],Clinics[Location],0)),"")</f>
        <v>37</v>
      </c>
      <c r="B182" t="s">
        <v>15</v>
      </c>
      <c r="C182" t="s">
        <v>131</v>
      </c>
      <c r="D182" t="s">
        <v>33</v>
      </c>
      <c r="E182" t="str">
        <f>IF(Staff[[#This Row],[Employee name]]="",TRUE,"")</f>
        <v/>
      </c>
      <c r="O182" s="7">
        <v>45091.575868055559</v>
      </c>
    </row>
    <row r="183" spans="1:15" x14ac:dyDescent="0.25">
      <c r="A183">
        <f>_xlfn.IFNA(INDEX(Clinics[Site],MATCH(Staff[[#This Row],[Location]],Clinics[Location],0)),"")</f>
        <v>37</v>
      </c>
      <c r="B183" t="s">
        <v>15</v>
      </c>
      <c r="C183" t="s">
        <v>132</v>
      </c>
      <c r="D183" t="s">
        <v>33</v>
      </c>
      <c r="E183" t="str">
        <f>IF(Staff[[#This Row],[Employee name]]="",TRUE,"")</f>
        <v/>
      </c>
      <c r="G183" t="b">
        <v>1</v>
      </c>
      <c r="H183" t="b">
        <v>1</v>
      </c>
      <c r="O183" s="7">
        <v>45091.575868055559</v>
      </c>
    </row>
    <row r="184" spans="1:15" x14ac:dyDescent="0.25">
      <c r="A184">
        <f>_xlfn.IFNA(INDEX(Clinics[Site],MATCH(Staff[[#This Row],[Location]],Clinics[Location],0)),"")</f>
        <v>37</v>
      </c>
      <c r="B184" t="s">
        <v>15</v>
      </c>
      <c r="C184" t="s">
        <v>134</v>
      </c>
      <c r="D184" t="s">
        <v>34</v>
      </c>
      <c r="E184" t="str">
        <f>IF(Staff[[#This Row],[Employee name]]="",TRUE,"")</f>
        <v/>
      </c>
      <c r="O184" s="7">
        <v>45091.575868055559</v>
      </c>
    </row>
    <row r="185" spans="1:15" x14ac:dyDescent="0.25">
      <c r="A185">
        <f>_xlfn.IFNA(INDEX(Clinics[Site],MATCH(Staff[[#This Row],[Location]],Clinics[Location],0)),"")</f>
        <v>37</v>
      </c>
      <c r="B185" t="s">
        <v>15</v>
      </c>
      <c r="C185" t="s">
        <v>135</v>
      </c>
      <c r="D185" t="s">
        <v>34</v>
      </c>
      <c r="E185" t="str">
        <f>IF(Staff[[#This Row],[Employee name]]="",TRUE,"")</f>
        <v/>
      </c>
      <c r="O185" s="7">
        <v>45091.575868055559</v>
      </c>
    </row>
    <row r="186" spans="1:15" x14ac:dyDescent="0.25">
      <c r="A186">
        <f>_xlfn.IFNA(INDEX(Clinics[Site],MATCH(Staff[[#This Row],[Location]],Clinics[Location],0)),"")</f>
        <v>26</v>
      </c>
      <c r="B186" t="s">
        <v>11</v>
      </c>
      <c r="C186" t="s">
        <v>136</v>
      </c>
      <c r="D186" t="s">
        <v>32</v>
      </c>
      <c r="E186" t="str">
        <f>IF(Staff[[#This Row],[Employee name]]="",TRUE,"")</f>
        <v/>
      </c>
      <c r="O186" s="7">
        <v>45099.722442129627</v>
      </c>
    </row>
    <row r="187" spans="1:15" x14ac:dyDescent="0.25">
      <c r="A187">
        <f>_xlfn.IFNA(INDEX(Clinics[Site],MATCH(Staff[[#This Row],[Location]],Clinics[Location],0)),"")</f>
        <v>26</v>
      </c>
      <c r="B187" t="s">
        <v>11</v>
      </c>
      <c r="C187" t="s">
        <v>137</v>
      </c>
      <c r="D187" t="s">
        <v>34</v>
      </c>
      <c r="E187" t="str">
        <f>IF(Staff[[#This Row],[Employee name]]="",TRUE,"")</f>
        <v/>
      </c>
      <c r="O187" s="7">
        <v>45099.722442129627</v>
      </c>
    </row>
    <row r="188" spans="1:15" x14ac:dyDescent="0.25">
      <c r="A188">
        <f>_xlfn.IFNA(INDEX(Clinics[Site],MATCH(Staff[[#This Row],[Location]],Clinics[Location],0)),"")</f>
        <v>26</v>
      </c>
      <c r="B188" t="s">
        <v>11</v>
      </c>
      <c r="C188" t="s">
        <v>138</v>
      </c>
      <c r="D188" t="s">
        <v>34</v>
      </c>
      <c r="E188" t="str">
        <f>IF(Staff[[#This Row],[Employee name]]="",TRUE,"")</f>
        <v/>
      </c>
      <c r="O188" s="7">
        <v>45099.722442129627</v>
      </c>
    </row>
    <row r="189" spans="1:15" x14ac:dyDescent="0.25">
      <c r="A189">
        <f>_xlfn.IFNA(INDEX(Clinics[Site],MATCH(Staff[[#This Row],[Location]],Clinics[Location],0)),"")</f>
        <v>26</v>
      </c>
      <c r="B189" t="s">
        <v>11</v>
      </c>
      <c r="C189" t="s">
        <v>139</v>
      </c>
      <c r="D189" t="s">
        <v>2</v>
      </c>
      <c r="E189" t="str">
        <f>IF(Staff[[#This Row],[Employee name]]="",TRUE,"")</f>
        <v/>
      </c>
      <c r="O189" s="7">
        <v>45099.722442129627</v>
      </c>
    </row>
    <row r="190" spans="1:15" x14ac:dyDescent="0.25">
      <c r="A190">
        <f>_xlfn.IFNA(INDEX(Clinics[Site],MATCH(Staff[[#This Row],[Location]],Clinics[Location],0)),"")</f>
        <v>26</v>
      </c>
      <c r="B190" t="s">
        <v>11</v>
      </c>
      <c r="C190" t="s">
        <v>140</v>
      </c>
      <c r="D190" t="s">
        <v>2</v>
      </c>
      <c r="E190" t="str">
        <f>IF(Staff[[#This Row],[Employee name]]="",TRUE,"")</f>
        <v/>
      </c>
      <c r="O190" s="7">
        <v>45099.722442129627</v>
      </c>
    </row>
    <row r="191" spans="1:15" x14ac:dyDescent="0.25">
      <c r="A191">
        <f>_xlfn.IFNA(INDEX(Clinics[Site],MATCH(Staff[[#This Row],[Location]],Clinics[Location],0)),"")</f>
        <v>26</v>
      </c>
      <c r="B191" t="s">
        <v>11</v>
      </c>
      <c r="C191" t="s">
        <v>141</v>
      </c>
      <c r="D191" t="s">
        <v>2</v>
      </c>
      <c r="E191" t="str">
        <f>IF(Staff[[#This Row],[Employee name]]="",TRUE,"")</f>
        <v/>
      </c>
      <c r="O191" s="7">
        <v>45099.722442129627</v>
      </c>
    </row>
    <row r="192" spans="1:15" x14ac:dyDescent="0.25">
      <c r="A192">
        <f>_xlfn.IFNA(INDEX(Clinics[Site],MATCH(Staff[[#This Row],[Location]],Clinics[Location],0)),"")</f>
        <v>26</v>
      </c>
      <c r="B192" t="s">
        <v>11</v>
      </c>
      <c r="C192" t="s">
        <v>142</v>
      </c>
      <c r="D192" t="s">
        <v>4</v>
      </c>
      <c r="E192" t="str">
        <f>IF(Staff[[#This Row],[Employee name]]="",TRUE,"")</f>
        <v/>
      </c>
      <c r="H192" t="b">
        <v>1</v>
      </c>
      <c r="O192" s="7">
        <v>45099.722442129627</v>
      </c>
    </row>
    <row r="193" spans="1:15" x14ac:dyDescent="0.25">
      <c r="A193">
        <f>_xlfn.IFNA(INDEX(Clinics[Site],MATCH(Staff[[#This Row],[Location]],Clinics[Location],0)),"")</f>
        <v>26</v>
      </c>
      <c r="B193" t="s">
        <v>11</v>
      </c>
      <c r="C193" t="s">
        <v>143</v>
      </c>
      <c r="D193" t="s">
        <v>124</v>
      </c>
      <c r="E193" t="str">
        <f>IF(Staff[[#This Row],[Employee name]]="",TRUE,"")</f>
        <v/>
      </c>
      <c r="F193" t="b">
        <v>1</v>
      </c>
      <c r="L193" t="b">
        <v>1</v>
      </c>
      <c r="O193" s="7">
        <v>45099.722442129627</v>
      </c>
    </row>
    <row r="194" spans="1:15" x14ac:dyDescent="0.25">
      <c r="A194">
        <f>_xlfn.IFNA(INDEX(Clinics[Site],MATCH(Staff[[#This Row],[Location]],Clinics[Location],0)),"")</f>
        <v>26</v>
      </c>
      <c r="B194" t="s">
        <v>11</v>
      </c>
      <c r="C194" t="s">
        <v>144</v>
      </c>
      <c r="D194" t="s">
        <v>4</v>
      </c>
      <c r="E194" t="str">
        <f>IF(Staff[[#This Row],[Employee name]]="",TRUE,"")</f>
        <v/>
      </c>
      <c r="O194" s="7">
        <v>45099.722442129627</v>
      </c>
    </row>
    <row r="195" spans="1:15" x14ac:dyDescent="0.25">
      <c r="A195">
        <f>_xlfn.IFNA(INDEX(Clinics[Site],MATCH(Staff[[#This Row],[Location]],Clinics[Location],0)),"")</f>
        <v>26</v>
      </c>
      <c r="B195" t="s">
        <v>11</v>
      </c>
      <c r="C195" t="s">
        <v>145</v>
      </c>
      <c r="D195" t="s">
        <v>33</v>
      </c>
      <c r="E195" t="str">
        <f>IF(Staff[[#This Row],[Employee name]]="",TRUE,"")</f>
        <v/>
      </c>
      <c r="F195" t="b">
        <v>1</v>
      </c>
      <c r="O195" s="7">
        <v>45099.722442129627</v>
      </c>
    </row>
    <row r="196" spans="1:15" x14ac:dyDescent="0.25">
      <c r="A196">
        <f>_xlfn.IFNA(INDEX(Clinics[Site],MATCH(Staff[[#This Row],[Location]],Clinics[Location],0)),"")</f>
        <v>26</v>
      </c>
      <c r="B196" t="s">
        <v>11</v>
      </c>
      <c r="C196" t="s">
        <v>146</v>
      </c>
      <c r="D196" t="s">
        <v>33</v>
      </c>
      <c r="E196" t="str">
        <f>IF(Staff[[#This Row],[Employee name]]="",TRUE,"")</f>
        <v/>
      </c>
      <c r="H196" t="b">
        <v>1</v>
      </c>
      <c r="O196" s="7">
        <v>45099.722442129627</v>
      </c>
    </row>
    <row r="197" spans="1:15" x14ac:dyDescent="0.25">
      <c r="A197">
        <f>_xlfn.IFNA(INDEX(Clinics[Site],MATCH(Staff[[#This Row],[Location]],Clinics[Location],0)),"")</f>
        <v>26</v>
      </c>
      <c r="B197" t="s">
        <v>11</v>
      </c>
      <c r="C197" t="s">
        <v>147</v>
      </c>
      <c r="D197" t="s">
        <v>33</v>
      </c>
      <c r="E197" t="str">
        <f>IF(Staff[[#This Row],[Employee name]]="",TRUE,"")</f>
        <v/>
      </c>
      <c r="O197" s="7">
        <v>45099.722442129627</v>
      </c>
    </row>
    <row r="198" spans="1:15" x14ac:dyDescent="0.25">
      <c r="A198">
        <f>_xlfn.IFNA(INDEX(Clinics[Site],MATCH(Staff[[#This Row],[Location]],Clinics[Location],0)),"")</f>
        <v>26</v>
      </c>
      <c r="B198" t="s">
        <v>11</v>
      </c>
      <c r="C198" t="s">
        <v>148</v>
      </c>
      <c r="D198" t="s">
        <v>33</v>
      </c>
      <c r="E198" t="str">
        <f>IF(Staff[[#This Row],[Employee name]]="",TRUE,"")</f>
        <v/>
      </c>
      <c r="O198" s="7">
        <v>45099.722442129627</v>
      </c>
    </row>
    <row r="199" spans="1:15" x14ac:dyDescent="0.25">
      <c r="A199">
        <f>_xlfn.IFNA(INDEX(Clinics[Site],MATCH(Staff[[#This Row],[Location]],Clinics[Location],0)),"")</f>
        <v>26</v>
      </c>
      <c r="B199" t="s">
        <v>11</v>
      </c>
      <c r="C199" t="s">
        <v>149</v>
      </c>
      <c r="D199" t="s">
        <v>33</v>
      </c>
      <c r="E199" t="str">
        <f>IF(Staff[[#This Row],[Employee name]]="",TRUE,"")</f>
        <v/>
      </c>
      <c r="O199" s="7">
        <v>45099.722442129627</v>
      </c>
    </row>
    <row r="200" spans="1:15" x14ac:dyDescent="0.25">
      <c r="A200">
        <f>_xlfn.IFNA(INDEX(Clinics[Site],MATCH(Staff[[#This Row],[Location]],Clinics[Location],0)),"")</f>
        <v>26</v>
      </c>
      <c r="B200" t="s">
        <v>11</v>
      </c>
      <c r="C200" t="s">
        <v>127</v>
      </c>
      <c r="D200" t="s">
        <v>4</v>
      </c>
      <c r="E200" t="str">
        <f>IF(Staff[[#This Row],[Employee name]]="",TRUE,"")</f>
        <v/>
      </c>
      <c r="O200" s="7">
        <v>45099.722442129627</v>
      </c>
    </row>
    <row r="201" spans="1:15" x14ac:dyDescent="0.25">
      <c r="A201">
        <f>_xlfn.IFNA(INDEX(Clinics[Site],MATCH(Staff[[#This Row],[Location]],Clinics[Location],0)),"")</f>
        <v>26</v>
      </c>
      <c r="B201" t="s">
        <v>11</v>
      </c>
      <c r="C201" t="s">
        <v>128</v>
      </c>
      <c r="D201" t="s">
        <v>4</v>
      </c>
      <c r="E201" t="str">
        <f>IF(Staff[[#This Row],[Employee name]]="",TRUE,"")</f>
        <v/>
      </c>
      <c r="O201" s="7">
        <v>45099.722442129627</v>
      </c>
    </row>
    <row r="202" spans="1:15" x14ac:dyDescent="0.25">
      <c r="A202">
        <f>_xlfn.IFNA(INDEX(Clinics[Site],MATCH(Staff[[#This Row],[Location]],Clinics[Location],0)),"")</f>
        <v>26</v>
      </c>
      <c r="B202" t="s">
        <v>11</v>
      </c>
      <c r="C202" t="s">
        <v>129</v>
      </c>
      <c r="D202" t="s">
        <v>4</v>
      </c>
      <c r="E202" t="str">
        <f>IF(Staff[[#This Row],[Employee name]]="",TRUE,"")</f>
        <v/>
      </c>
      <c r="O202" s="7">
        <v>45099.722442129627</v>
      </c>
    </row>
    <row r="203" spans="1:15" x14ac:dyDescent="0.25">
      <c r="A203">
        <f>_xlfn.IFNA(INDEX(Clinics[Site],MATCH(Staff[[#This Row],[Location]],Clinics[Location],0)),"")</f>
        <v>26</v>
      </c>
      <c r="B203" t="s">
        <v>11</v>
      </c>
      <c r="C203" t="s">
        <v>130</v>
      </c>
      <c r="D203" t="s">
        <v>4</v>
      </c>
      <c r="E203" t="str">
        <f>IF(Staff[[#This Row],[Employee name]]="",TRUE,"")</f>
        <v/>
      </c>
      <c r="O203" s="7">
        <v>45099.722442129627</v>
      </c>
    </row>
    <row r="204" spans="1:15" x14ac:dyDescent="0.25">
      <c r="A204">
        <f>_xlfn.IFNA(INDEX(Clinics[Site],MATCH(Staff[[#This Row],[Location]],Clinics[Location],0)),"")</f>
        <v>26</v>
      </c>
      <c r="B204" t="s">
        <v>11</v>
      </c>
      <c r="C204" t="s">
        <v>131</v>
      </c>
      <c r="D204" t="s">
        <v>33</v>
      </c>
      <c r="E204" t="str">
        <f>IF(Staff[[#This Row],[Employee name]]="",TRUE,"")</f>
        <v/>
      </c>
      <c r="O204" s="7">
        <v>45099.722442129627</v>
      </c>
    </row>
    <row r="205" spans="1:15" x14ac:dyDescent="0.25">
      <c r="A205">
        <f>_xlfn.IFNA(INDEX(Clinics[Site],MATCH(Staff[[#This Row],[Location]],Clinics[Location],0)),"")</f>
        <v>26</v>
      </c>
      <c r="B205" t="s">
        <v>11</v>
      </c>
      <c r="C205" t="s">
        <v>132</v>
      </c>
      <c r="D205" t="s">
        <v>33</v>
      </c>
      <c r="E205" t="str">
        <f>IF(Staff[[#This Row],[Employee name]]="",TRUE,"")</f>
        <v/>
      </c>
      <c r="G205" t="b">
        <v>1</v>
      </c>
      <c r="H205" t="b">
        <v>1</v>
      </c>
      <c r="O205" s="7">
        <v>45099.722442129627</v>
      </c>
    </row>
    <row r="206" spans="1:15" x14ac:dyDescent="0.25">
      <c r="A206">
        <f>_xlfn.IFNA(INDEX(Clinics[Site],MATCH(Staff[[#This Row],[Location]],Clinics[Location],0)),"")</f>
        <v>26</v>
      </c>
      <c r="B206" t="s">
        <v>11</v>
      </c>
      <c r="C206" t="s">
        <v>134</v>
      </c>
      <c r="D206" t="s">
        <v>34</v>
      </c>
      <c r="E206" t="str">
        <f>IF(Staff[[#This Row],[Employee name]]="",TRUE,"")</f>
        <v/>
      </c>
      <c r="F206" t="b">
        <v>1</v>
      </c>
      <c r="L206" t="b">
        <v>1</v>
      </c>
      <c r="O206" s="7">
        <v>45099.722442129627</v>
      </c>
    </row>
    <row r="207" spans="1:15" x14ac:dyDescent="0.25">
      <c r="A207">
        <f>_xlfn.IFNA(INDEX(Clinics[Site],MATCH(Staff[[#This Row],[Location]],Clinics[Location],0)),"")</f>
        <v>26</v>
      </c>
      <c r="B207" t="s">
        <v>11</v>
      </c>
      <c r="C207" t="s">
        <v>125</v>
      </c>
      <c r="D207" t="s">
        <v>32</v>
      </c>
      <c r="E207" t="str">
        <f>IF(Staff[[#This Row],[Employee name]]="",TRUE,"")</f>
        <v/>
      </c>
      <c r="O207" s="7">
        <v>45099.722442129627</v>
      </c>
    </row>
    <row r="208" spans="1:15" x14ac:dyDescent="0.25">
      <c r="A208">
        <f>_xlfn.IFNA(INDEX(Clinics[Site],MATCH(Staff[[#This Row],[Location]],Clinics[Location],0)),"")</f>
        <v>26</v>
      </c>
      <c r="B208" t="s">
        <v>11</v>
      </c>
      <c r="C208" t="s">
        <v>126</v>
      </c>
      <c r="D208" t="s">
        <v>34</v>
      </c>
      <c r="E208" t="str">
        <f>IF(Staff[[#This Row],[Employee name]]="",TRUE,"")</f>
        <v/>
      </c>
      <c r="O208" s="7">
        <v>45099.722442129627</v>
      </c>
    </row>
    <row r="209" spans="1:15" x14ac:dyDescent="0.25">
      <c r="A209">
        <f>_xlfn.IFNA(INDEX(Clinics[Site],MATCH(Staff[[#This Row],[Location]],Clinics[Location],0)),"")</f>
        <v>26</v>
      </c>
      <c r="B209" t="s">
        <v>11</v>
      </c>
      <c r="C209" t="s">
        <v>135</v>
      </c>
      <c r="D209" t="s">
        <v>34</v>
      </c>
      <c r="E209" t="str">
        <f>IF(Staff[[#This Row],[Employee name]]="",TRUE,"")</f>
        <v/>
      </c>
      <c r="F209" t="b">
        <v>1</v>
      </c>
      <c r="L209" t="b">
        <v>1</v>
      </c>
      <c r="O209" s="7">
        <v>45099.722442129627</v>
      </c>
    </row>
    <row r="210" spans="1:15" x14ac:dyDescent="0.25">
      <c r="A210">
        <f>_xlfn.IFNA(INDEX(Clinics[Site],MATCH(Staff[[#This Row],[Location]],Clinics[Location],0)),"")</f>
        <v>26</v>
      </c>
      <c r="B210" t="s">
        <v>11</v>
      </c>
      <c r="D210" t="s">
        <v>133</v>
      </c>
      <c r="E210" t="b">
        <f>IF(Staff[[#This Row],[Employee name]]="",TRUE,"")</f>
        <v>1</v>
      </c>
      <c r="O210" s="7">
        <v>45099.722442129627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D48A5-1066-4F2F-AE8E-5D98AAE7DF13}">
  <sheetPr codeName="Sheet4"/>
  <dimension ref="A1:N23"/>
  <sheetViews>
    <sheetView tabSelected="1" zoomScaleNormal="100" workbookViewId="0">
      <selection activeCell="B19" sqref="B19"/>
    </sheetView>
  </sheetViews>
  <sheetFormatPr defaultRowHeight="13.2" x14ac:dyDescent="0.25"/>
  <cols>
    <col min="1" max="1" width="6.88671875" style="1" customWidth="1"/>
    <col min="2" max="2" width="21.21875" customWidth="1"/>
    <col min="3" max="3" width="24" customWidth="1"/>
    <col min="4" max="4" width="13" customWidth="1"/>
    <col min="14" max="14" width="0" hidden="1" customWidth="1"/>
  </cols>
  <sheetData>
    <row r="1" spans="1:14" ht="13.8" thickBot="1" x14ac:dyDescent="0.3">
      <c r="E1" s="62" t="s">
        <v>280</v>
      </c>
      <c r="F1" s="62"/>
      <c r="G1" s="62"/>
      <c r="H1" s="62"/>
      <c r="I1" s="62"/>
      <c r="J1" s="62"/>
      <c r="K1" s="62"/>
      <c r="L1" s="62"/>
      <c r="M1" s="62"/>
    </row>
    <row r="2" spans="1:14" ht="13.8" thickTop="1" x14ac:dyDescent="0.25">
      <c r="E2" s="59" t="s">
        <v>278</v>
      </c>
      <c r="F2" s="60"/>
      <c r="G2" s="61"/>
      <c r="H2" s="63" t="s">
        <v>279</v>
      </c>
      <c r="I2" s="64"/>
      <c r="J2" s="65"/>
      <c r="K2" s="66" t="s">
        <v>260</v>
      </c>
      <c r="L2" s="67"/>
      <c r="M2" s="68"/>
    </row>
    <row r="3" spans="1:14" x14ac:dyDescent="0.25">
      <c r="A3" s="3" t="s">
        <v>5</v>
      </c>
      <c r="B3" s="5" t="s">
        <v>20</v>
      </c>
      <c r="C3" t="s">
        <v>25</v>
      </c>
      <c r="D3" s="5" t="s">
        <v>117</v>
      </c>
      <c r="E3" s="12" t="s">
        <v>283</v>
      </c>
      <c r="F3" s="5" t="s">
        <v>287</v>
      </c>
      <c r="G3" s="13" t="s">
        <v>284</v>
      </c>
      <c r="H3" s="12" t="s">
        <v>281</v>
      </c>
      <c r="I3" s="5" t="s">
        <v>288</v>
      </c>
      <c r="J3" s="16" t="s">
        <v>282</v>
      </c>
      <c r="K3" s="17" t="s">
        <v>285</v>
      </c>
      <c r="L3" s="5" t="s">
        <v>289</v>
      </c>
      <c r="M3" s="18" t="s">
        <v>286</v>
      </c>
      <c r="N3" s="5" t="s">
        <v>293</v>
      </c>
    </row>
    <row r="4" spans="1:14" x14ac:dyDescent="0.25">
      <c r="A4" s="1">
        <v>37</v>
      </c>
      <c r="B4" t="s">
        <v>15</v>
      </c>
      <c r="C4" t="s">
        <v>30</v>
      </c>
      <c r="D4">
        <v>4606</v>
      </c>
      <c r="E4" s="14" cm="1">
        <f t="array" ref="E4">SUM((Staff[Location]=Clinics[[#This Row],[Location]])*(ISNUMBER(MATCH(Staff[Position], Roles[Clerk], 0)))*(Staff[Vacant]&lt;&gt;TRUE)*(Staff[On leave]&lt;&gt;TRUE)*(Staff[Temp]&lt;&gt;TRUE))</f>
        <v>6</v>
      </c>
      <c r="F4">
        <f>ROUNDUP((1/1000)*Clinics[[#This Row],[Participants]],0)</f>
        <v>5</v>
      </c>
      <c r="G4" s="15">
        <f>Clinics[[#This Row],[target (clerk)]]-Clinics[[#This Row],[actual (clerk)]]</f>
        <v>-1</v>
      </c>
      <c r="H4" s="14" cm="1">
        <f t="array" ref="H4">SUM((Staff[Location]=Clinics[[#This Row],[Location]])*(ISNUMBER(MATCH(Staff[Position], Roles[Certifier], 0)))*(Staff[Vacant]&lt;&gt;TRUE)*(Staff[On leave]&lt;&gt;TRUE)*(Staff[Temp]&lt;&gt;TRUE))</f>
        <v>3</v>
      </c>
      <c r="I4">
        <f>ROUNDUP((1/1800)*Clinics[[#This Row],[Participants]],0)</f>
        <v>3</v>
      </c>
      <c r="J4" s="15">
        <f>Clinics[[#This Row],[target (cert)]]-Clinics[[#This Row],[actual (cert)]]</f>
        <v>0</v>
      </c>
      <c r="K4" s="19" cm="1">
        <f t="array" ref="K4">SUM((Staff[Location]=Clinics[[#This Row],[Location]])*(ISNUMBER(MATCH(Staff[Position], Roles[Supervisor], 0)))*(Staff[Vacant]&lt;&gt;TRUE)*(Staff[On leave]&lt;&gt;TRUE)*(Staff[Temp]&lt;&gt;TRUE))</f>
        <v>1</v>
      </c>
      <c r="L4">
        <f>IF(ROUNDUP((1/2500)*Clinics[[#This Row],[Participants]]-1,0)&gt;=0,ROUNDUP((1/2500)*Clinics[[#This Row],[Participants]]-1,0),0)</f>
        <v>1</v>
      </c>
      <c r="M4" s="20">
        <f>Clinics[[#This Row],[target (super)]]-Clinics[[#This Row],[actual (super)]]</f>
        <v>0</v>
      </c>
      <c r="N4" s="20">
        <f>IF(OR(Clinics[[#This Row],[vacant (clerk)]]&gt;=3,Clinics[[#This Row],[vacant (cert)]]&gt;=2,Clinics[[#This Row],[vacant (super)]]&gt;=2),1,0)</f>
        <v>0</v>
      </c>
    </row>
    <row r="5" spans="1:14" x14ac:dyDescent="0.25">
      <c r="B5" t="s">
        <v>1</v>
      </c>
      <c r="C5" t="s">
        <v>26</v>
      </c>
      <c r="E5" s="14" cm="1">
        <f t="array" ref="E5">SUM((Staff[Location]=Clinics[[#This Row],[Location]])*(ISNUMBER(MATCH(Staff[Position], Roles[Clerk], 0)))*(Staff[Vacant]&lt;&gt;TRUE)*(Staff[On leave]&lt;&gt;TRUE)*(Staff[Temp]&lt;&gt;TRUE))</f>
        <v>0</v>
      </c>
      <c r="F5">
        <f>Clinics[[#This Row],[actual (clerk)]]</f>
        <v>0</v>
      </c>
      <c r="G5" s="15">
        <f>Clinics[[#This Row],[target (clerk)]]-Clinics[[#This Row],[actual (clerk)]]</f>
        <v>0</v>
      </c>
      <c r="H5" s="14" cm="1">
        <f t="array" ref="H5">SUM((Staff[Location]=Clinics[[#This Row],[Location]])*(ISNUMBER(MATCH(Staff[Position], Roles[Certifier], 0)))*(Staff[Vacant]&lt;&gt;TRUE)*(Staff[On leave]&lt;&gt;TRUE)*(Staff[Temp]&lt;&gt;TRUE))</f>
        <v>0</v>
      </c>
      <c r="I5">
        <f>Clinics[[#This Row],[actual (cert)]]</f>
        <v>0</v>
      </c>
      <c r="J5" s="15">
        <f>Clinics[[#This Row],[target (cert)]]-Clinics[[#This Row],[actual (cert)]]</f>
        <v>0</v>
      </c>
      <c r="K5" s="19" cm="1">
        <f t="array" ref="K5">SUM((Staff[Location]=Clinics[[#This Row],[Location]])*(ISNUMBER(MATCH(Staff[Position], Roles[Supervisor], 0)))*(Staff[Vacant]&lt;&gt;TRUE)*(Staff[On leave]&lt;&gt;TRUE)*(Staff[Temp]&lt;&gt;TRUE))</f>
        <v>0</v>
      </c>
      <c r="L5">
        <f>Clinics[[#This Row],[actual (super)]]</f>
        <v>0</v>
      </c>
      <c r="M5" s="20">
        <f>Clinics[[#This Row],[target (super)]]-Clinics[[#This Row],[actual (super)]]</f>
        <v>0</v>
      </c>
      <c r="N5" s="20">
        <f>IF(OR(Clinics[[#This Row],[vacant (clerk)]]&gt;=3,Clinics[[#This Row],[vacant (cert)]]&gt;=2,Clinics[[#This Row],[vacant (super)]]&gt;=2),1,0)</f>
        <v>0</v>
      </c>
    </row>
    <row r="6" spans="1:14" x14ac:dyDescent="0.25">
      <c r="A6" s="1">
        <v>26</v>
      </c>
      <c r="B6" t="s">
        <v>11</v>
      </c>
      <c r="C6" t="s">
        <v>30</v>
      </c>
      <c r="D6">
        <v>7749</v>
      </c>
      <c r="E6" s="14" cm="1">
        <f t="array" ref="E6">SUM((Staff[Location]=Clinics[[#This Row],[Location]])*(ISNUMBER(MATCH(Staff[Position], Roles[Clerk], 0)))*(Staff[Vacant]&lt;&gt;TRUE)*(Staff[On leave]&lt;&gt;TRUE)*(Staff[Temp]&lt;&gt;TRUE))</f>
        <v>13</v>
      </c>
      <c r="F6">
        <f>ROUNDUP((1/1000)*Clinics[[#This Row],[Participants]],0)</f>
        <v>8</v>
      </c>
      <c r="G6" s="15">
        <f>Clinics[[#This Row],[target (clerk)]]-Clinics[[#This Row],[actual (clerk)]]</f>
        <v>-5</v>
      </c>
      <c r="H6" s="14" cm="1">
        <f t="array" ref="H6">SUM((Staff[Location]=Clinics[[#This Row],[Location]])*(ISNUMBER(MATCH(Staff[Position], Roles[Certifier], 0)))*(Staff[Vacant]&lt;&gt;TRUE)*(Staff[On leave]&lt;&gt;TRUE)*(Staff[Temp]&lt;&gt;TRUE))</f>
        <v>6</v>
      </c>
      <c r="I6">
        <f>ROUNDUP((1/1800)*Clinics[[#This Row],[Participants]],0)</f>
        <v>5</v>
      </c>
      <c r="J6" s="15">
        <f>Clinics[[#This Row],[target (cert)]]-Clinics[[#This Row],[actual (cert)]]</f>
        <v>-1</v>
      </c>
      <c r="K6" s="19" cm="1">
        <f t="array" ref="K6">SUM((Staff[Location]=Clinics[[#This Row],[Location]])*(ISNUMBER(MATCH(Staff[Position], Roles[Supervisor], 0)))*(Staff[Vacant]&lt;&gt;TRUE)*(Staff[On leave]&lt;&gt;TRUE)*(Staff[Temp]&lt;&gt;TRUE))</f>
        <v>2</v>
      </c>
      <c r="L6">
        <f>IF(ROUNDUP((1/2500)*Clinics[[#This Row],[Participants]]-1,0)&gt;=0,ROUNDUP((1/2500)*Clinics[[#This Row],[Participants]]-1,0),0)</f>
        <v>3</v>
      </c>
      <c r="M6" s="20">
        <f>Clinics[[#This Row],[target (super)]]-Clinics[[#This Row],[actual (super)]]</f>
        <v>1</v>
      </c>
      <c r="N6" s="20">
        <f>IF(OR(Clinics[[#This Row],[vacant (clerk)]]&gt;=3,Clinics[[#This Row],[vacant (cert)]]&gt;=2,Clinics[[#This Row],[vacant (super)]]&gt;=2),1,0)</f>
        <v>0</v>
      </c>
    </row>
    <row r="7" spans="1:14" x14ac:dyDescent="0.25">
      <c r="B7" t="s">
        <v>220</v>
      </c>
      <c r="C7" t="s">
        <v>216</v>
      </c>
      <c r="E7" s="14" cm="1">
        <f t="array" ref="E7">SUM((Staff[Location]=Clinics[[#This Row],[Location]])*(ISNUMBER(MATCH(Staff[Position], Roles[Clerk], 0)))*(Staff[Vacant]&lt;&gt;TRUE)*(Staff[On leave]&lt;&gt;TRUE)*(Staff[Temp]&lt;&gt;TRUE))</f>
        <v>0</v>
      </c>
      <c r="F7">
        <f>Clinics[[#This Row],[actual (clerk)]]</f>
        <v>0</v>
      </c>
      <c r="G7" s="15">
        <f>Clinics[[#This Row],[target (clerk)]]-Clinics[[#This Row],[actual (clerk)]]</f>
        <v>0</v>
      </c>
      <c r="H7" s="14" cm="1">
        <f t="array" ref="H7">SUM((Staff[Location]=Clinics[[#This Row],[Location]])*(ISNUMBER(MATCH(Staff[Position], Roles[Certifier], 0)))*(Staff[Vacant]&lt;&gt;TRUE)*(Staff[On leave]&lt;&gt;TRUE)*(Staff[Temp]&lt;&gt;TRUE))</f>
        <v>0</v>
      </c>
      <c r="I7">
        <f>Clinics[[#This Row],[actual (cert)]]</f>
        <v>0</v>
      </c>
      <c r="J7" s="15">
        <f>Clinics[[#This Row],[target (cert)]]-Clinics[[#This Row],[actual (cert)]]</f>
        <v>0</v>
      </c>
      <c r="K7" s="19" cm="1">
        <f t="array" ref="K7">SUM((Staff[Location]=Clinics[[#This Row],[Location]])*(ISNUMBER(MATCH(Staff[Position], Roles[Supervisor], 0)))*(Staff[Vacant]&lt;&gt;TRUE)*(Staff[On leave]&lt;&gt;TRUE)*(Staff[Temp]&lt;&gt;TRUE))</f>
        <v>1</v>
      </c>
      <c r="L7">
        <f>Clinics[[#This Row],[actual (super)]]</f>
        <v>1</v>
      </c>
      <c r="M7" s="20">
        <f>Clinics[[#This Row],[target (super)]]-Clinics[[#This Row],[actual (super)]]</f>
        <v>0</v>
      </c>
      <c r="N7" s="20">
        <f>IF(OR(Clinics[[#This Row],[vacant (clerk)]]&gt;=3,Clinics[[#This Row],[vacant (cert)]]&gt;=2,Clinics[[#This Row],[vacant (super)]]&gt;=2),1,0)</f>
        <v>0</v>
      </c>
    </row>
    <row r="8" spans="1:14" x14ac:dyDescent="0.25">
      <c r="A8" s="1">
        <v>30</v>
      </c>
      <c r="B8" t="s">
        <v>19</v>
      </c>
      <c r="C8" t="s">
        <v>27</v>
      </c>
      <c r="D8">
        <v>3818</v>
      </c>
      <c r="E8" s="14" cm="1">
        <f t="array" ref="E8">SUM((Staff[Location]=Clinics[[#This Row],[Location]])*(ISNUMBER(MATCH(Staff[Position], Roles[Clerk], 0)))*(Staff[Vacant]&lt;&gt;TRUE)*(Staff[On leave]&lt;&gt;TRUE)*(Staff[Temp]&lt;&gt;TRUE))</f>
        <v>4</v>
      </c>
      <c r="F8">
        <f>ROUNDUP((1/1000)*Clinics[[#This Row],[Participants]],0)</f>
        <v>4</v>
      </c>
      <c r="G8" s="15">
        <f>Clinics[[#This Row],[target (clerk)]]-Clinics[[#This Row],[actual (clerk)]]</f>
        <v>0</v>
      </c>
      <c r="H8" s="14" cm="1">
        <f t="array" ref="H8">SUM((Staff[Location]=Clinics[[#This Row],[Location]])*(ISNUMBER(MATCH(Staff[Position], Roles[Certifier], 0)))*(Staff[Vacant]&lt;&gt;TRUE)*(Staff[On leave]&lt;&gt;TRUE)*(Staff[Temp]&lt;&gt;TRUE))</f>
        <v>1</v>
      </c>
      <c r="I8">
        <f>ROUNDUP((1/1800)*Clinics[[#This Row],[Participants]],0)</f>
        <v>3</v>
      </c>
      <c r="J8" s="15">
        <f>Clinics[[#This Row],[target (cert)]]-Clinics[[#This Row],[actual (cert)]]</f>
        <v>2</v>
      </c>
      <c r="K8" s="19" cm="1">
        <f t="array" ref="K8">SUM((Staff[Location]=Clinics[[#This Row],[Location]])*(ISNUMBER(MATCH(Staff[Position], Roles[Supervisor], 0)))*(Staff[Vacant]&lt;&gt;TRUE)*(Staff[On leave]&lt;&gt;TRUE)*(Staff[Temp]&lt;&gt;TRUE))</f>
        <v>1</v>
      </c>
      <c r="L8">
        <f>IF(ROUNDUP((1/2500)*Clinics[[#This Row],[Participants]]-1,0)&gt;=0,ROUNDUP((1/2500)*Clinics[[#This Row],[Participants]]-1,0),0)</f>
        <v>1</v>
      </c>
      <c r="M8" s="20">
        <f>Clinics[[#This Row],[target (super)]]-Clinics[[#This Row],[actual (super)]]</f>
        <v>0</v>
      </c>
      <c r="N8" s="20">
        <f>IF(OR(Clinics[[#This Row],[vacant (clerk)]]&gt;=3,Clinics[[#This Row],[vacant (cert)]]&gt;=2,Clinics[[#This Row],[vacant (super)]]&gt;=2),1,0)</f>
        <v>1</v>
      </c>
    </row>
    <row r="9" spans="1:14" x14ac:dyDescent="0.25">
      <c r="A9" s="1">
        <v>11</v>
      </c>
      <c r="B9" t="s">
        <v>13</v>
      </c>
      <c r="C9" t="s">
        <v>31</v>
      </c>
      <c r="D9">
        <v>6182</v>
      </c>
      <c r="E9" s="14" cm="1">
        <f t="array" ref="E9">SUM((Staff[Location]=Clinics[[#This Row],[Location]])*(ISNUMBER(MATCH(Staff[Position], Roles[Clerk], 0)))*(Staff[Vacant]&lt;&gt;TRUE)*(Staff[On leave]&lt;&gt;TRUE)*(Staff[Temp]&lt;&gt;TRUE))</f>
        <v>3</v>
      </c>
      <c r="F9">
        <f>ROUNDUP((1/1000)*Clinics[[#This Row],[Participants]],0)</f>
        <v>7</v>
      </c>
      <c r="G9" s="15">
        <f>Clinics[[#This Row],[target (clerk)]]-Clinics[[#This Row],[actual (clerk)]]</f>
        <v>4</v>
      </c>
      <c r="H9" s="14" cm="1">
        <f t="array" ref="H9">SUM((Staff[Location]=Clinics[[#This Row],[Location]])*(ISNUMBER(MATCH(Staff[Position], Roles[Certifier], 0)))*(Staff[Vacant]&lt;&gt;TRUE)*(Staff[On leave]&lt;&gt;TRUE)*(Staff[Temp]&lt;&gt;TRUE))</f>
        <v>3</v>
      </c>
      <c r="I9">
        <f>ROUNDUP((1/1800)*Clinics[[#This Row],[Participants]],0)</f>
        <v>4</v>
      </c>
      <c r="J9" s="15">
        <f>Clinics[[#This Row],[target (cert)]]-Clinics[[#This Row],[actual (cert)]]</f>
        <v>1</v>
      </c>
      <c r="K9" s="19" cm="1">
        <f t="array" ref="K9">SUM((Staff[Location]=Clinics[[#This Row],[Location]])*(ISNUMBER(MATCH(Staff[Position], Roles[Supervisor], 0)))*(Staff[Vacant]&lt;&gt;TRUE)*(Staff[On leave]&lt;&gt;TRUE)*(Staff[Temp]&lt;&gt;TRUE))</f>
        <v>1</v>
      </c>
      <c r="L9">
        <f>IF(ROUNDUP((1/2500)*Clinics[[#This Row],[Participants]]-1,0)&gt;=0,ROUNDUP((1/2500)*Clinics[[#This Row],[Participants]]-1,0),0)</f>
        <v>2</v>
      </c>
      <c r="M9" s="20">
        <f>Clinics[[#This Row],[target (super)]]-Clinics[[#This Row],[actual (super)]]</f>
        <v>1</v>
      </c>
      <c r="N9" s="20">
        <f>IF(OR(Clinics[[#This Row],[vacant (clerk)]]&gt;=3,Clinics[[#This Row],[vacant (cert)]]&gt;=2,Clinics[[#This Row],[vacant (super)]]&gt;=2),1,0)</f>
        <v>1</v>
      </c>
    </row>
    <row r="10" spans="1:14" x14ac:dyDescent="0.25">
      <c r="A10" s="1">
        <v>42</v>
      </c>
      <c r="B10" t="s">
        <v>29</v>
      </c>
      <c r="C10" t="s">
        <v>28</v>
      </c>
      <c r="D10">
        <v>0</v>
      </c>
      <c r="E10" s="14" cm="1">
        <f t="array" ref="E10">SUM((Staff[Location]=Clinics[[#This Row],[Location]])*(ISNUMBER(MATCH(Staff[Position], Roles[Clerk], 0)))*(Staff[Vacant]&lt;&gt;TRUE)*(Staff[On leave]&lt;&gt;TRUE)*(Staff[Temp]&lt;&gt;TRUE))</f>
        <v>1</v>
      </c>
      <c r="F10">
        <f>ROUNDUP((1/1000)*Clinics[[#This Row],[Participants]],0)</f>
        <v>0</v>
      </c>
      <c r="G10" s="15">
        <f>Clinics[[#This Row],[target (clerk)]]-Clinics[[#This Row],[actual (clerk)]]</f>
        <v>-1</v>
      </c>
      <c r="H10" s="14" cm="1">
        <f t="array" ref="H10">SUM((Staff[Location]=Clinics[[#This Row],[Location]])*(ISNUMBER(MATCH(Staff[Position], Roles[Certifier], 0)))*(Staff[Vacant]&lt;&gt;TRUE)*(Staff[On leave]&lt;&gt;TRUE)*(Staff[Temp]&lt;&gt;TRUE))</f>
        <v>1</v>
      </c>
      <c r="I10">
        <f>ROUNDUP((1/1800)*Clinics[[#This Row],[Participants]],0)</f>
        <v>0</v>
      </c>
      <c r="J10" s="15">
        <f>Clinics[[#This Row],[target (cert)]]-Clinics[[#This Row],[actual (cert)]]</f>
        <v>-1</v>
      </c>
      <c r="K10" s="19" cm="1">
        <f t="array" ref="K10">SUM((Staff[Location]=Clinics[[#This Row],[Location]])*(ISNUMBER(MATCH(Staff[Position], Roles[Supervisor], 0)))*(Staff[Vacant]&lt;&gt;TRUE)*(Staff[On leave]&lt;&gt;TRUE)*(Staff[Temp]&lt;&gt;TRUE))</f>
        <v>0</v>
      </c>
      <c r="L10">
        <f>IF(ROUNDUP((1/2500)*Clinics[[#This Row],[Participants]]-1,0)&gt;=0,ROUNDUP((1/2500)*Clinics[[#This Row],[Participants]]-1,0),0)</f>
        <v>0</v>
      </c>
      <c r="M10" s="20">
        <f>Clinics[[#This Row],[target (super)]]-Clinics[[#This Row],[actual (super)]]</f>
        <v>0</v>
      </c>
      <c r="N10" s="20">
        <f>IF(OR(Clinics[[#This Row],[vacant (clerk)]]&gt;=3,Clinics[[#This Row],[vacant (cert)]]&gt;=2,Clinics[[#This Row],[vacant (super)]]&gt;=2),1,0)</f>
        <v>0</v>
      </c>
    </row>
    <row r="11" spans="1:14" x14ac:dyDescent="0.25">
      <c r="A11" s="1">
        <v>8</v>
      </c>
      <c r="B11" t="s">
        <v>21</v>
      </c>
      <c r="C11" t="s">
        <v>26</v>
      </c>
      <c r="D11">
        <v>4977</v>
      </c>
      <c r="E11" s="14" cm="1">
        <f t="array" ref="E11">SUM((Staff[Location]=Clinics[[#This Row],[Location]])*(ISNUMBER(MATCH(Staff[Position], Roles[Clerk], 0)))*(Staff[Vacant]&lt;&gt;TRUE)*(Staff[On leave]&lt;&gt;TRUE)*(Staff[Temp]&lt;&gt;TRUE))</f>
        <v>2</v>
      </c>
      <c r="F11">
        <f>ROUNDUP((1/1000)*Clinics[[#This Row],[Participants]],0)</f>
        <v>5</v>
      </c>
      <c r="G11" s="15">
        <f>Clinics[[#This Row],[target (clerk)]]-Clinics[[#This Row],[actual (clerk)]]</f>
        <v>3</v>
      </c>
      <c r="H11" s="14" cm="1">
        <f t="array" ref="H11">SUM((Staff[Location]=Clinics[[#This Row],[Location]])*(ISNUMBER(MATCH(Staff[Position], Roles[Certifier], 0)))*(Staff[Vacant]&lt;&gt;TRUE)*(Staff[On leave]&lt;&gt;TRUE)*(Staff[Temp]&lt;&gt;TRUE))</f>
        <v>4</v>
      </c>
      <c r="I11">
        <f>ROUNDUP((1/1800)*Clinics[[#This Row],[Participants]],0)</f>
        <v>3</v>
      </c>
      <c r="J11" s="15">
        <f>Clinics[[#This Row],[target (cert)]]-Clinics[[#This Row],[actual (cert)]]</f>
        <v>-1</v>
      </c>
      <c r="K11" s="19" cm="1">
        <f t="array" ref="K11">SUM((Staff[Location]=Clinics[[#This Row],[Location]])*(ISNUMBER(MATCH(Staff[Position], Roles[Supervisor], 0)))*(Staff[Vacant]&lt;&gt;TRUE)*(Staff[On leave]&lt;&gt;TRUE)*(Staff[Temp]&lt;&gt;TRUE))</f>
        <v>1</v>
      </c>
      <c r="L11">
        <f>IF(ROUNDUP((1/2500)*Clinics[[#This Row],[Participants]]-1,0)&gt;=0,ROUNDUP((1/2500)*Clinics[[#This Row],[Participants]]-1,0),0)</f>
        <v>1</v>
      </c>
      <c r="M11" s="20">
        <f>Clinics[[#This Row],[target (super)]]-Clinics[[#This Row],[actual (super)]]</f>
        <v>0</v>
      </c>
      <c r="N11" s="20">
        <f>IF(OR(Clinics[[#This Row],[vacant (clerk)]]&gt;=3,Clinics[[#This Row],[vacant (cert)]]&gt;=2,Clinics[[#This Row],[vacant (super)]]&gt;=2),1,0)</f>
        <v>1</v>
      </c>
    </row>
    <row r="12" spans="1:14" x14ac:dyDescent="0.25">
      <c r="A12" s="1">
        <v>10</v>
      </c>
      <c r="B12" t="s">
        <v>17</v>
      </c>
      <c r="C12" t="s">
        <v>28</v>
      </c>
      <c r="D12">
        <v>179</v>
      </c>
      <c r="E12" s="14" cm="1">
        <f t="array" ref="E12">SUM((Staff[Location]=Clinics[[#This Row],[Location]])*(ISNUMBER(MATCH(Staff[Position], Roles[Clerk], 0)))*(Staff[Vacant]&lt;&gt;TRUE)*(Staff[On leave]&lt;&gt;TRUE)*(Staff[Temp]&lt;&gt;TRUE))</f>
        <v>1</v>
      </c>
      <c r="F12">
        <f>ROUNDUP((1/1000)*Clinics[[#This Row],[Participants]],0)</f>
        <v>1</v>
      </c>
      <c r="G12" s="15">
        <f>Clinics[[#This Row],[target (clerk)]]-Clinics[[#This Row],[actual (clerk)]]</f>
        <v>0</v>
      </c>
      <c r="H12" s="14" cm="1">
        <f t="array" ref="H12">SUM((Staff[Location]=Clinics[[#This Row],[Location]])*(ISNUMBER(MATCH(Staff[Position], Roles[Certifier], 0)))*(Staff[Vacant]&lt;&gt;TRUE)*(Staff[On leave]&lt;&gt;TRUE)*(Staff[Temp]&lt;&gt;TRUE))</f>
        <v>1</v>
      </c>
      <c r="I12">
        <f>ROUNDUP((1/1800)*Clinics[[#This Row],[Participants]],0)</f>
        <v>1</v>
      </c>
      <c r="J12" s="15">
        <f>Clinics[[#This Row],[target (cert)]]-Clinics[[#This Row],[actual (cert)]]</f>
        <v>0</v>
      </c>
      <c r="K12" s="19" cm="1">
        <f t="array" ref="K12">SUM((Staff[Location]=Clinics[[#This Row],[Location]])*(ISNUMBER(MATCH(Staff[Position], Roles[Supervisor], 0)))*(Staff[Vacant]&lt;&gt;TRUE)*(Staff[On leave]&lt;&gt;TRUE)*(Staff[Temp]&lt;&gt;TRUE))</f>
        <v>0</v>
      </c>
      <c r="L12">
        <f>IF(ROUNDUP((1/2500)*Clinics[[#This Row],[Participants]]-1,0)&gt;=0,ROUNDUP((1/2500)*Clinics[[#This Row],[Participants]]-1,0),0)</f>
        <v>0</v>
      </c>
      <c r="M12" s="20">
        <f>Clinics[[#This Row],[target (super)]]-Clinics[[#This Row],[actual (super)]]</f>
        <v>0</v>
      </c>
      <c r="N12" s="20">
        <f>IF(OR(Clinics[[#This Row],[vacant (clerk)]]&gt;=3,Clinics[[#This Row],[vacant (cert)]]&gt;=2,Clinics[[#This Row],[vacant (super)]]&gt;=2),1,0)</f>
        <v>0</v>
      </c>
    </row>
    <row r="13" spans="1:14" x14ac:dyDescent="0.25">
      <c r="A13" s="1">
        <v>9</v>
      </c>
      <c r="B13" t="s">
        <v>22</v>
      </c>
      <c r="C13" t="s">
        <v>26</v>
      </c>
      <c r="D13">
        <v>9200</v>
      </c>
      <c r="E13" s="14" cm="1">
        <f t="array" ref="E13">SUM((Staff[Location]=Clinics[[#This Row],[Location]])*(ISNUMBER(MATCH(Staff[Position], Roles[Clerk], 0)))*(Staff[Vacant]&lt;&gt;TRUE)*(Staff[On leave]&lt;&gt;TRUE)*(Staff[Temp]&lt;&gt;TRUE))</f>
        <v>7</v>
      </c>
      <c r="F13">
        <f>ROUNDUP((1/1000)*Clinics[[#This Row],[Participants]],0)</f>
        <v>10</v>
      </c>
      <c r="G13" s="15">
        <f>Clinics[[#This Row],[target (clerk)]]-Clinics[[#This Row],[actual (clerk)]]</f>
        <v>3</v>
      </c>
      <c r="H13" s="14" cm="1">
        <f t="array" ref="H13">SUM((Staff[Location]=Clinics[[#This Row],[Location]])*(ISNUMBER(MATCH(Staff[Position], Roles[Certifier], 0)))*(Staff[Vacant]&lt;&gt;TRUE)*(Staff[On leave]&lt;&gt;TRUE)*(Staff[Temp]&lt;&gt;TRUE))</f>
        <v>5</v>
      </c>
      <c r="I13">
        <f>ROUNDUP((1/1800)*Clinics[[#This Row],[Participants]],0)</f>
        <v>6</v>
      </c>
      <c r="J13" s="15">
        <f>Clinics[[#This Row],[target (cert)]]-Clinics[[#This Row],[actual (cert)]]</f>
        <v>1</v>
      </c>
      <c r="K13" s="19" cm="1">
        <f t="array" ref="K13">SUM((Staff[Location]=Clinics[[#This Row],[Location]])*(ISNUMBER(MATCH(Staff[Position], Roles[Supervisor], 0)))*(Staff[Vacant]&lt;&gt;TRUE)*(Staff[On leave]&lt;&gt;TRUE)*(Staff[Temp]&lt;&gt;TRUE))</f>
        <v>2</v>
      </c>
      <c r="L13">
        <f>IF(ROUNDUP((1/2500)*Clinics[[#This Row],[Participants]]-1,0)&gt;=0,ROUNDUP((1/2500)*Clinics[[#This Row],[Participants]]-1,0),0)</f>
        <v>3</v>
      </c>
      <c r="M13" s="20">
        <f>Clinics[[#This Row],[target (super)]]-Clinics[[#This Row],[actual (super)]]</f>
        <v>1</v>
      </c>
      <c r="N13" s="20">
        <f>IF(OR(Clinics[[#This Row],[vacant (clerk)]]&gt;=3,Clinics[[#This Row],[vacant (cert)]]&gt;=2,Clinics[[#This Row],[vacant (super)]]&gt;=2),1,0)</f>
        <v>1</v>
      </c>
    </row>
    <row r="14" spans="1:14" x14ac:dyDescent="0.25">
      <c r="A14" s="1">
        <v>5</v>
      </c>
      <c r="B14" t="s">
        <v>10</v>
      </c>
      <c r="C14" t="s">
        <v>28</v>
      </c>
      <c r="D14">
        <v>10040</v>
      </c>
      <c r="E14" s="14" cm="1">
        <f t="array" ref="E14">SUM((Staff[Location]=Clinics[[#This Row],[Location]])*(ISNUMBER(MATCH(Staff[Position], Roles[Clerk], 0)))*(Staff[Vacant]&lt;&gt;TRUE)*(Staff[On leave]&lt;&gt;TRUE)*(Staff[Temp]&lt;&gt;TRUE))</f>
        <v>8</v>
      </c>
      <c r="F14">
        <f>ROUNDUP((1/1000)*Clinics[[#This Row],[Participants]],0)</f>
        <v>11</v>
      </c>
      <c r="G14" s="15">
        <f>Clinics[[#This Row],[target (clerk)]]-Clinics[[#This Row],[actual (clerk)]]</f>
        <v>3</v>
      </c>
      <c r="H14" s="14" cm="1">
        <f t="array" ref="H14">SUM((Staff[Location]=Clinics[[#This Row],[Location]])*(ISNUMBER(MATCH(Staff[Position], Roles[Certifier], 0)))*(Staff[Vacant]&lt;&gt;TRUE)*(Staff[On leave]&lt;&gt;TRUE)*(Staff[Temp]&lt;&gt;TRUE))</f>
        <v>4</v>
      </c>
      <c r="I14">
        <f>ROUNDUP((1/1800)*Clinics[[#This Row],[Participants]],0)</f>
        <v>6</v>
      </c>
      <c r="J14" s="15">
        <f>Clinics[[#This Row],[target (cert)]]-Clinics[[#This Row],[actual (cert)]]</f>
        <v>2</v>
      </c>
      <c r="K14" s="19" cm="1">
        <f t="array" ref="K14">SUM((Staff[Location]=Clinics[[#This Row],[Location]])*(ISNUMBER(MATCH(Staff[Position], Roles[Supervisor], 0)))*(Staff[Vacant]&lt;&gt;TRUE)*(Staff[On leave]&lt;&gt;TRUE)*(Staff[Temp]&lt;&gt;TRUE))</f>
        <v>3</v>
      </c>
      <c r="L14">
        <f>IF(ROUNDUP((1/2500)*Clinics[[#This Row],[Participants]]-1,0)&gt;=0,ROUNDUP((1/2500)*Clinics[[#This Row],[Participants]]-1,0),0)</f>
        <v>4</v>
      </c>
      <c r="M14" s="20">
        <f>Clinics[[#This Row],[target (super)]]-Clinics[[#This Row],[actual (super)]]</f>
        <v>1</v>
      </c>
      <c r="N14" s="20">
        <f>IF(OR(Clinics[[#This Row],[vacant (clerk)]]&gt;=3,Clinics[[#This Row],[vacant (cert)]]&gt;=2,Clinics[[#This Row],[vacant (super)]]&gt;=2),1,0)</f>
        <v>1</v>
      </c>
    </row>
    <row r="15" spans="1:14" x14ac:dyDescent="0.25">
      <c r="A15" s="1">
        <v>34</v>
      </c>
      <c r="B15" t="s">
        <v>24</v>
      </c>
      <c r="C15" t="s">
        <v>31</v>
      </c>
      <c r="D15">
        <v>141</v>
      </c>
      <c r="E15" s="14" cm="1">
        <f t="array" ref="E15">SUM((Staff[Location]=Clinics[[#This Row],[Location]])*(ISNUMBER(MATCH(Staff[Position], Roles[Clerk], 0)))*(Staff[Vacant]&lt;&gt;TRUE)*(Staff[On leave]&lt;&gt;TRUE)*(Staff[Temp]&lt;&gt;TRUE))</f>
        <v>2</v>
      </c>
      <c r="F15">
        <f>ROUNDUP((1/1000)*Clinics[[#This Row],[Participants]],0)</f>
        <v>1</v>
      </c>
      <c r="G15" s="15">
        <f>Clinics[[#This Row],[target (clerk)]]-Clinics[[#This Row],[actual (clerk)]]</f>
        <v>-1</v>
      </c>
      <c r="H15" s="14" cm="1">
        <f t="array" ref="H15">SUM((Staff[Location]=Clinics[[#This Row],[Location]])*(ISNUMBER(MATCH(Staff[Position], Roles[Certifier], 0)))*(Staff[Vacant]&lt;&gt;TRUE)*(Staff[On leave]&lt;&gt;TRUE)*(Staff[Temp]&lt;&gt;TRUE))</f>
        <v>1</v>
      </c>
      <c r="I15">
        <f>ROUNDUP((1/1800)*Clinics[[#This Row],[Participants]],0)</f>
        <v>1</v>
      </c>
      <c r="J15" s="15">
        <f>Clinics[[#This Row],[target (cert)]]-Clinics[[#This Row],[actual (cert)]]</f>
        <v>0</v>
      </c>
      <c r="K15" s="19" cm="1">
        <f t="array" ref="K15">SUM((Staff[Location]=Clinics[[#This Row],[Location]])*(ISNUMBER(MATCH(Staff[Position], Roles[Supervisor], 0)))*(Staff[Vacant]&lt;&gt;TRUE)*(Staff[On leave]&lt;&gt;TRUE)*(Staff[Temp]&lt;&gt;TRUE))</f>
        <v>1</v>
      </c>
      <c r="L15">
        <f>IF(ROUNDUP((1/2500)*Clinics[[#This Row],[Participants]]-1,0)&gt;=0,ROUNDUP((1/2500)*Clinics[[#This Row],[Participants]]-1,0),0)</f>
        <v>0</v>
      </c>
      <c r="M15" s="20">
        <f>Clinics[[#This Row],[target (super)]]-Clinics[[#This Row],[actual (super)]]</f>
        <v>-1</v>
      </c>
      <c r="N15" s="20">
        <f>IF(OR(Clinics[[#This Row],[vacant (clerk)]]&gt;=3,Clinics[[#This Row],[vacant (cert)]]&gt;=2,Clinics[[#This Row],[vacant (super)]]&gt;=2),1,0)</f>
        <v>0</v>
      </c>
    </row>
    <row r="16" spans="1:14" x14ac:dyDescent="0.25">
      <c r="A16" s="1">
        <v>25</v>
      </c>
      <c r="B16" t="s">
        <v>18</v>
      </c>
      <c r="C16" t="s">
        <v>27</v>
      </c>
      <c r="D16">
        <v>8800</v>
      </c>
      <c r="E16" s="14" cm="1">
        <f t="array" ref="E16">SUM((Staff[Location]=Clinics[[#This Row],[Location]])*(ISNUMBER(MATCH(Staff[Position], Roles[Clerk], 0)))*(Staff[Vacant]&lt;&gt;TRUE)*(Staff[On leave]&lt;&gt;TRUE)*(Staff[Temp]&lt;&gt;TRUE))</f>
        <v>11</v>
      </c>
      <c r="F16">
        <f>ROUNDUP((1/1000)*Clinics[[#This Row],[Participants]],0)</f>
        <v>9</v>
      </c>
      <c r="G16" s="15">
        <f>Clinics[[#This Row],[target (clerk)]]-Clinics[[#This Row],[actual (clerk)]]</f>
        <v>-2</v>
      </c>
      <c r="H16" s="14" cm="1">
        <f t="array" ref="H16">SUM((Staff[Location]=Clinics[[#This Row],[Location]])*(ISNUMBER(MATCH(Staff[Position], Roles[Certifier], 0)))*(Staff[Vacant]&lt;&gt;TRUE)*(Staff[On leave]&lt;&gt;TRUE)*(Staff[Temp]&lt;&gt;TRUE))</f>
        <v>6</v>
      </c>
      <c r="I16">
        <f>ROUNDUP((1/1800)*Clinics[[#This Row],[Participants]],0)</f>
        <v>5</v>
      </c>
      <c r="J16" s="15">
        <f>Clinics[[#This Row],[target (cert)]]-Clinics[[#This Row],[actual (cert)]]</f>
        <v>-1</v>
      </c>
      <c r="K16" s="19" cm="1">
        <f t="array" ref="K16">SUM((Staff[Location]=Clinics[[#This Row],[Location]])*(ISNUMBER(MATCH(Staff[Position], Roles[Supervisor], 0)))*(Staff[Vacant]&lt;&gt;TRUE)*(Staff[On leave]&lt;&gt;TRUE)*(Staff[Temp]&lt;&gt;TRUE))</f>
        <v>2</v>
      </c>
      <c r="L16">
        <f>IF(ROUNDUP((1/2500)*Clinics[[#This Row],[Participants]]-1,0)&gt;=0,ROUNDUP((1/2500)*Clinics[[#This Row],[Participants]]-1,0),0)</f>
        <v>3</v>
      </c>
      <c r="M16" s="20">
        <f>Clinics[[#This Row],[target (super)]]-Clinics[[#This Row],[actual (super)]]</f>
        <v>1</v>
      </c>
      <c r="N16" s="20">
        <f>IF(OR(Clinics[[#This Row],[vacant (clerk)]]&gt;=3,Clinics[[#This Row],[vacant (cert)]]&gt;=2,Clinics[[#This Row],[vacant (super)]]&gt;=2),1,0)</f>
        <v>0</v>
      </c>
    </row>
    <row r="17" spans="1:14" x14ac:dyDescent="0.25">
      <c r="A17" s="1">
        <v>1</v>
      </c>
      <c r="B17" t="s">
        <v>9</v>
      </c>
      <c r="C17" t="s">
        <v>28</v>
      </c>
      <c r="D17">
        <v>1244</v>
      </c>
      <c r="E17" s="14" cm="1">
        <f t="array" ref="E17">SUM((Staff[Location]=Clinics[[#This Row],[Location]])*(ISNUMBER(MATCH(Staff[Position], Roles[Clerk], 0)))*(Staff[Vacant]&lt;&gt;TRUE)*(Staff[On leave]&lt;&gt;TRUE)*(Staff[Temp]&lt;&gt;TRUE))</f>
        <v>2</v>
      </c>
      <c r="F17">
        <f>ROUNDUP((1/1000)*Clinics[[#This Row],[Participants]],0)</f>
        <v>2</v>
      </c>
      <c r="G17" s="15">
        <f>Clinics[[#This Row],[target (clerk)]]-Clinics[[#This Row],[actual (clerk)]]</f>
        <v>0</v>
      </c>
      <c r="H17" s="14" cm="1">
        <f t="array" ref="H17">SUM((Staff[Location]=Clinics[[#This Row],[Location]])*(ISNUMBER(MATCH(Staff[Position], Roles[Certifier], 0)))*(Staff[Vacant]&lt;&gt;TRUE)*(Staff[On leave]&lt;&gt;TRUE)*(Staff[Temp]&lt;&gt;TRUE))</f>
        <v>0</v>
      </c>
      <c r="I17">
        <f>ROUNDUP((1/1800)*Clinics[[#This Row],[Participants]],0)</f>
        <v>1</v>
      </c>
      <c r="J17" s="15">
        <f>Clinics[[#This Row],[target (cert)]]-Clinics[[#This Row],[actual (cert)]]</f>
        <v>1</v>
      </c>
      <c r="K17" s="19" cm="1">
        <f t="array" ref="K17">SUM((Staff[Location]=Clinics[[#This Row],[Location]])*(ISNUMBER(MATCH(Staff[Position], Roles[Supervisor], 0)))*(Staff[Vacant]&lt;&gt;TRUE)*(Staff[On leave]&lt;&gt;TRUE)*(Staff[Temp]&lt;&gt;TRUE))</f>
        <v>1</v>
      </c>
      <c r="L17">
        <f>IF(ROUNDUP((1/2500)*Clinics[[#This Row],[Participants]]-1,0)&gt;=0,ROUNDUP((1/2500)*Clinics[[#This Row],[Participants]]-1,0),0)</f>
        <v>0</v>
      </c>
      <c r="M17" s="20">
        <f>Clinics[[#This Row],[target (super)]]-Clinics[[#This Row],[actual (super)]]</f>
        <v>-1</v>
      </c>
      <c r="N17" s="20">
        <f>IF(OR(Clinics[[#This Row],[vacant (clerk)]]&gt;=3,Clinics[[#This Row],[vacant (cert)]]&gt;=2,Clinics[[#This Row],[vacant (super)]]&gt;=2),1,0)</f>
        <v>0</v>
      </c>
    </row>
    <row r="18" spans="1:14" x14ac:dyDescent="0.25">
      <c r="A18" s="1">
        <v>24</v>
      </c>
      <c r="B18" t="s">
        <v>12</v>
      </c>
      <c r="C18" t="s">
        <v>31</v>
      </c>
      <c r="D18">
        <v>6959</v>
      </c>
      <c r="E18" s="14" cm="1">
        <f t="array" ref="E18">SUM((Staff[Location]=Clinics[[#This Row],[Location]])*(ISNUMBER(MATCH(Staff[Position], Roles[Clerk], 0)))*(Staff[Vacant]&lt;&gt;TRUE)*(Staff[On leave]&lt;&gt;TRUE)*(Staff[Temp]&lt;&gt;TRUE))</f>
        <v>8</v>
      </c>
      <c r="F18">
        <f>ROUNDUP((1/1000)*Clinics[[#This Row],[Participants]],0)</f>
        <v>7</v>
      </c>
      <c r="G18" s="15">
        <f>Clinics[[#This Row],[target (clerk)]]-Clinics[[#This Row],[actual (clerk)]]</f>
        <v>-1</v>
      </c>
      <c r="H18" s="14" cm="1">
        <f t="array" ref="H18">SUM((Staff[Location]=Clinics[[#This Row],[Location]])*(ISNUMBER(MATCH(Staff[Position], Roles[Certifier], 0)))*(Staff[Vacant]&lt;&gt;TRUE)*(Staff[On leave]&lt;&gt;TRUE)*(Staff[Temp]&lt;&gt;TRUE))</f>
        <v>1</v>
      </c>
      <c r="I18">
        <f>ROUNDUP((1/1800)*Clinics[[#This Row],[Participants]],0)</f>
        <v>4</v>
      </c>
      <c r="J18" s="15">
        <f>Clinics[[#This Row],[target (cert)]]-Clinics[[#This Row],[actual (cert)]]</f>
        <v>3</v>
      </c>
      <c r="K18" s="19" cm="1">
        <f t="array" ref="K18">SUM((Staff[Location]=Clinics[[#This Row],[Location]])*(ISNUMBER(MATCH(Staff[Position], Roles[Supervisor], 0)))*(Staff[Vacant]&lt;&gt;TRUE)*(Staff[On leave]&lt;&gt;TRUE)*(Staff[Temp]&lt;&gt;TRUE))</f>
        <v>2</v>
      </c>
      <c r="L18">
        <f>IF(ROUNDUP((1/2500)*Clinics[[#This Row],[Participants]]-1,0)&gt;=0,ROUNDUP((1/2500)*Clinics[[#This Row],[Participants]]-1,0),0)</f>
        <v>2</v>
      </c>
      <c r="M18" s="20">
        <f>Clinics[[#This Row],[target (super)]]-Clinics[[#This Row],[actual (super)]]</f>
        <v>0</v>
      </c>
      <c r="N18" s="20">
        <f>IF(OR(Clinics[[#This Row],[vacant (clerk)]]&gt;=3,Clinics[[#This Row],[vacant (cert)]]&gt;=2,Clinics[[#This Row],[vacant (super)]]&gt;=2),1,0)</f>
        <v>1</v>
      </c>
    </row>
    <row r="19" spans="1:14" x14ac:dyDescent="0.25">
      <c r="A19" s="1">
        <v>17</v>
      </c>
      <c r="B19" t="s">
        <v>23</v>
      </c>
      <c r="C19" t="s">
        <v>26</v>
      </c>
      <c r="D19">
        <v>3818</v>
      </c>
      <c r="E19" s="14" cm="1">
        <f t="array" ref="E19">SUM((Staff[Location]=Clinics[[#This Row],[Location]])*(ISNUMBER(MATCH(Staff[Position], Roles[Clerk], 0)))*(Staff[Vacant]&lt;&gt;TRUE)*(Staff[On leave]&lt;&gt;TRUE)*(Staff[Temp]&lt;&gt;TRUE))</f>
        <v>4</v>
      </c>
      <c r="F19">
        <f>ROUNDUP((1/1000)*Clinics[[#This Row],[Participants]],0)</f>
        <v>4</v>
      </c>
      <c r="G19" s="15">
        <f>Clinics[[#This Row],[target (clerk)]]-Clinics[[#This Row],[actual (clerk)]]</f>
        <v>0</v>
      </c>
      <c r="H19" s="14" cm="1">
        <f t="array" ref="H19">SUM((Staff[Location]=Clinics[[#This Row],[Location]])*(ISNUMBER(MATCH(Staff[Position], Roles[Certifier], 0)))*(Staff[Vacant]&lt;&gt;TRUE)*(Staff[On leave]&lt;&gt;TRUE)*(Staff[Temp]&lt;&gt;TRUE))</f>
        <v>1</v>
      </c>
      <c r="I19">
        <f>ROUNDUP((1/1800)*Clinics[[#This Row],[Participants]],0)</f>
        <v>3</v>
      </c>
      <c r="J19" s="15">
        <f>Clinics[[#This Row],[target (cert)]]-Clinics[[#This Row],[actual (cert)]]</f>
        <v>2</v>
      </c>
      <c r="K19" s="19" cm="1">
        <f t="array" ref="K19">SUM((Staff[Location]=Clinics[[#This Row],[Location]])*(ISNUMBER(MATCH(Staff[Position], Roles[Supervisor], 0)))*(Staff[Vacant]&lt;&gt;TRUE)*(Staff[On leave]&lt;&gt;TRUE)*(Staff[Temp]&lt;&gt;TRUE))</f>
        <v>1</v>
      </c>
      <c r="L19">
        <f>IF(ROUNDUP((1/2500)*Clinics[[#This Row],[Participants]]-1,0)&gt;=0,ROUNDUP((1/2500)*Clinics[[#This Row],[Participants]]-1,0),0)</f>
        <v>1</v>
      </c>
      <c r="M19" s="20">
        <f>Clinics[[#This Row],[target (super)]]-Clinics[[#This Row],[actual (super)]]</f>
        <v>0</v>
      </c>
      <c r="N19" s="20">
        <f>IF(OR(Clinics[[#This Row],[vacant (clerk)]]&gt;=3,Clinics[[#This Row],[vacant (cert)]]&gt;=2,Clinics[[#This Row],[vacant (super)]]&gt;=2),1,0)</f>
        <v>1</v>
      </c>
    </row>
    <row r="20" spans="1:14" x14ac:dyDescent="0.25">
      <c r="B20" t="s">
        <v>0</v>
      </c>
      <c r="C20" t="s">
        <v>26</v>
      </c>
      <c r="E20" s="14" cm="1">
        <f t="array" ref="E20">SUM((Staff[Location]=Clinics[[#This Row],[Location]])*(ISNUMBER(MATCH(Staff[Position], Roles[Clerk], 0)))*(Staff[Vacant]&lt;&gt;TRUE)*(Staff[On leave]&lt;&gt;TRUE)*(Staff[Temp]&lt;&gt;TRUE))</f>
        <v>0</v>
      </c>
      <c r="F20">
        <f>Clinics[[#This Row],[actual (clerk)]]</f>
        <v>0</v>
      </c>
      <c r="G20" s="15">
        <f>Clinics[[#This Row],[target (clerk)]]-Clinics[[#This Row],[actual (clerk)]]</f>
        <v>0</v>
      </c>
      <c r="H20" s="14" cm="1">
        <f t="array" ref="H20">SUM((Staff[Location]=Clinics[[#This Row],[Location]])*(ISNUMBER(MATCH(Staff[Position], Roles[Certifier], 0)))*(Staff[Vacant]&lt;&gt;TRUE)*(Staff[On leave]&lt;&gt;TRUE)*(Staff[Temp]&lt;&gt;TRUE))</f>
        <v>0</v>
      </c>
      <c r="I20">
        <f>Clinics[[#This Row],[actual (cert)]]</f>
        <v>0</v>
      </c>
      <c r="J20" s="15">
        <f>Clinics[[#This Row],[target (cert)]]-Clinics[[#This Row],[actual (cert)]]</f>
        <v>0</v>
      </c>
      <c r="K20" s="19" cm="1">
        <f t="array" ref="K20">SUM((Staff[Location]=Clinics[[#This Row],[Location]])*(ISNUMBER(MATCH(Staff[Position], Roles[Supervisor], 0)))*(Staff[Vacant]&lt;&gt;TRUE)*(Staff[On leave]&lt;&gt;TRUE)*(Staff[Temp]&lt;&gt;TRUE))</f>
        <v>1</v>
      </c>
      <c r="L20">
        <f>Clinics[[#This Row],[actual (super)]]</f>
        <v>1</v>
      </c>
      <c r="M20" s="20">
        <f>Clinics[[#This Row],[target (super)]]-Clinics[[#This Row],[actual (super)]]</f>
        <v>0</v>
      </c>
      <c r="N20" s="20">
        <f>IF(OR(Clinics[[#This Row],[vacant (clerk)]]&gt;=3,Clinics[[#This Row],[vacant (cert)]]&gt;=2,Clinics[[#This Row],[vacant (super)]]&gt;=2),1,0)</f>
        <v>0</v>
      </c>
    </row>
    <row r="21" spans="1:14" x14ac:dyDescent="0.25">
      <c r="A21" s="1">
        <v>32</v>
      </c>
      <c r="B21" t="s">
        <v>14</v>
      </c>
      <c r="C21" t="s">
        <v>30</v>
      </c>
      <c r="D21">
        <v>4755</v>
      </c>
      <c r="E21" s="14" cm="1">
        <f t="array" ref="E21">SUM((Staff[Location]=Clinics[[#This Row],[Location]])*(ISNUMBER(MATCH(Staff[Position], Roles[Clerk], 0)))*(Staff[Vacant]&lt;&gt;TRUE)*(Staff[On leave]&lt;&gt;TRUE)*(Staff[Temp]&lt;&gt;TRUE))</f>
        <v>3</v>
      </c>
      <c r="F21">
        <f>ROUNDUP((1/1000)*Clinics[[#This Row],[Participants]],0)</f>
        <v>5</v>
      </c>
      <c r="G21" s="15">
        <f>Clinics[[#This Row],[target (clerk)]]-Clinics[[#This Row],[actual (clerk)]]</f>
        <v>2</v>
      </c>
      <c r="H21" s="14" cm="1">
        <f t="array" ref="H21">SUM((Staff[Location]=Clinics[[#This Row],[Location]])*(ISNUMBER(MATCH(Staff[Position], Roles[Certifier], 0)))*(Staff[Vacant]&lt;&gt;TRUE)*(Staff[On leave]&lt;&gt;TRUE)*(Staff[Temp]&lt;&gt;TRUE))</f>
        <v>2</v>
      </c>
      <c r="I21">
        <f>ROUNDUP((1/1800)*Clinics[[#This Row],[Participants]],0)</f>
        <v>3</v>
      </c>
      <c r="J21" s="15">
        <f>Clinics[[#This Row],[target (cert)]]-Clinics[[#This Row],[actual (cert)]]</f>
        <v>1</v>
      </c>
      <c r="K21" s="19" cm="1">
        <f t="array" ref="K21">SUM((Staff[Location]=Clinics[[#This Row],[Location]])*(ISNUMBER(MATCH(Staff[Position], Roles[Supervisor], 0)))*(Staff[Vacant]&lt;&gt;TRUE)*(Staff[On leave]&lt;&gt;TRUE)*(Staff[Temp]&lt;&gt;TRUE))</f>
        <v>1</v>
      </c>
      <c r="L21">
        <f>IF(ROUNDUP((1/2500)*Clinics[[#This Row],[Participants]]-1,0)&gt;=0,ROUNDUP((1/2500)*Clinics[[#This Row],[Participants]]-1,0),0)</f>
        <v>1</v>
      </c>
      <c r="M21" s="20">
        <f>Clinics[[#This Row],[target (super)]]-Clinics[[#This Row],[actual (super)]]</f>
        <v>0</v>
      </c>
      <c r="N21" s="20">
        <f>IF(OR(Clinics[[#This Row],[vacant (clerk)]]&gt;=3,Clinics[[#This Row],[vacant (cert)]]&gt;=2,Clinics[[#This Row],[vacant (super)]]&gt;=2),1,0)</f>
        <v>0</v>
      </c>
    </row>
    <row r="22" spans="1:14" x14ac:dyDescent="0.25">
      <c r="A22" s="1">
        <v>3</v>
      </c>
      <c r="B22" t="s">
        <v>16</v>
      </c>
      <c r="C22" t="s">
        <v>27</v>
      </c>
      <c r="D22">
        <v>4462</v>
      </c>
      <c r="E22" s="14" cm="1">
        <f t="array" ref="E22">SUM((Staff[Location]=Clinics[[#This Row],[Location]])*(ISNUMBER(MATCH(Staff[Position], Roles[Clerk], 0)))*(Staff[Vacant]&lt;&gt;TRUE)*(Staff[On leave]&lt;&gt;TRUE)*(Staff[Temp]&lt;&gt;TRUE))</f>
        <v>5</v>
      </c>
      <c r="F22">
        <f>ROUNDUP((1/1000)*Clinics[[#This Row],[Participants]],0)</f>
        <v>5</v>
      </c>
      <c r="G22" s="15">
        <f>Clinics[[#This Row],[target (clerk)]]-Clinics[[#This Row],[actual (clerk)]]</f>
        <v>0</v>
      </c>
      <c r="H22" s="14" cm="1">
        <f t="array" ref="H22">SUM((Staff[Location]=Clinics[[#This Row],[Location]])*(ISNUMBER(MATCH(Staff[Position], Roles[Certifier], 0)))*(Staff[Vacant]&lt;&gt;TRUE)*(Staff[On leave]&lt;&gt;TRUE)*(Staff[Temp]&lt;&gt;TRUE))</f>
        <v>2</v>
      </c>
      <c r="I22">
        <f>ROUNDUP((1/1800)*Clinics[[#This Row],[Participants]],0)</f>
        <v>3</v>
      </c>
      <c r="J22" s="15">
        <f>Clinics[[#This Row],[target (cert)]]-Clinics[[#This Row],[actual (cert)]]</f>
        <v>1</v>
      </c>
      <c r="K22" s="19" cm="1">
        <f t="array" ref="K22">SUM((Staff[Location]=Clinics[[#This Row],[Location]])*(ISNUMBER(MATCH(Staff[Position], Roles[Supervisor], 0)))*(Staff[Vacant]&lt;&gt;TRUE)*(Staff[On leave]&lt;&gt;TRUE)*(Staff[Temp]&lt;&gt;TRUE))</f>
        <v>1</v>
      </c>
      <c r="L22">
        <f>IF(ROUNDUP((1/2500)*Clinics[[#This Row],[Participants]]-1,0)&gt;=0,ROUNDUP((1/2500)*Clinics[[#This Row],[Participants]]-1,0),0)</f>
        <v>1</v>
      </c>
      <c r="M22" s="20">
        <f>Clinics[[#This Row],[target (super)]]-Clinics[[#This Row],[actual (super)]]</f>
        <v>0</v>
      </c>
      <c r="N22" s="20">
        <f>IF(OR(Clinics[[#This Row],[vacant (clerk)]]&gt;=3,Clinics[[#This Row],[vacant (cert)]]&gt;=2,Clinics[[#This Row],[vacant (super)]]&gt;=2),1,0)</f>
        <v>0</v>
      </c>
    </row>
    <row r="23" spans="1:14" x14ac:dyDescent="0.25">
      <c r="A23" s="1" t="s">
        <v>290</v>
      </c>
      <c r="D23">
        <f>SUM(Clinics[Participants])</f>
        <v>76930</v>
      </c>
      <c r="E23" s="14">
        <f>SUM(Clinics[actual (clerk)])</f>
        <v>80</v>
      </c>
      <c r="F23" s="14">
        <f>SUM(Clinics[target (clerk)])</f>
        <v>84</v>
      </c>
      <c r="G23" s="14" cm="1">
        <f t="array" ref="G23">SUM(Clinics[vacant (clerk)]*(Clinics[vacant (clerk)]&gt;=0))</f>
        <v>15</v>
      </c>
      <c r="H23" s="14">
        <f>SUM(Clinics[actual (cert)])</f>
        <v>41</v>
      </c>
      <c r="I23" s="14">
        <f>SUM(Clinics[target (cert)])</f>
        <v>51</v>
      </c>
      <c r="J23" s="14" cm="1">
        <f t="array" ref="J23">SUM(Clinics[vacant (cert)]*(Clinics[vacant (cert)]&gt;=0))</f>
        <v>14</v>
      </c>
      <c r="K23" s="14">
        <f>SUM(Clinics[actual (super)])</f>
        <v>22</v>
      </c>
      <c r="L23" s="14">
        <f>SUM(Clinics[target (super)])</f>
        <v>25</v>
      </c>
      <c r="M23" s="14" cm="1">
        <f t="array" ref="M23">SUM(Clinics[vacant (super)]*(Clinics[vacant (super)]&gt;=0))</f>
        <v>5</v>
      </c>
      <c r="N23" s="14"/>
    </row>
  </sheetData>
  <mergeCells count="4">
    <mergeCell ref="E2:G2"/>
    <mergeCell ref="E1:M1"/>
    <mergeCell ref="H2:J2"/>
    <mergeCell ref="K2:M2"/>
  </mergeCells>
  <phoneticPr fontId="1" type="noConversion"/>
  <conditionalFormatting sqref="G4:G22 J4:J22 M4:M22">
    <cfRule type="colorScale" priority="1">
      <colorScale>
        <cfvo type="num" val="-5"/>
        <cfvo type="num" val="0"/>
        <cfvo type="num" val="5"/>
        <color theme="4"/>
        <color rgb="FFFAFAFA"/>
        <color rgb="FFFF0000"/>
      </colorScale>
    </cfRule>
  </conditionalFormatting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7A87E-6815-4CA1-9953-4934964A4675}">
  <sheetPr codeName="Sheet6"/>
  <dimension ref="A1:T25"/>
  <sheetViews>
    <sheetView zoomScaleNormal="100" workbookViewId="0">
      <selection activeCell="B24" sqref="B24"/>
    </sheetView>
  </sheetViews>
  <sheetFormatPr defaultRowHeight="13.2" x14ac:dyDescent="0.25"/>
  <cols>
    <col min="1" max="1" width="5.21875" customWidth="1"/>
    <col min="2" max="2" width="17.21875" customWidth="1"/>
    <col min="3" max="3" width="22.33203125" customWidth="1"/>
    <col min="4" max="4" width="16.6640625" customWidth="1"/>
    <col min="5" max="5" width="12.88671875" customWidth="1"/>
    <col min="6" max="6" width="12" customWidth="1"/>
    <col min="7" max="7" width="16.77734375" customWidth="1"/>
    <col min="16" max="16" width="14.77734375" customWidth="1"/>
  </cols>
  <sheetData>
    <row r="1" spans="1:20" x14ac:dyDescent="0.25">
      <c r="A1" s="69" t="s">
        <v>277</v>
      </c>
      <c r="B1" s="69"/>
      <c r="C1" s="69"/>
      <c r="D1" s="69"/>
      <c r="E1" s="69"/>
      <c r="F1" s="69"/>
      <c r="G1" s="69"/>
      <c r="Q1" s="2" t="s">
        <v>274</v>
      </c>
    </row>
    <row r="2" spans="1:20" x14ac:dyDescent="0.25">
      <c r="A2" s="69"/>
      <c r="B2" s="69"/>
      <c r="C2" s="69"/>
      <c r="D2" s="69"/>
      <c r="E2" s="69"/>
      <c r="F2" s="69"/>
      <c r="G2" s="69"/>
      <c r="Q2" t="s">
        <v>258</v>
      </c>
      <c r="R2" t="s">
        <v>71</v>
      </c>
      <c r="S2" t="s">
        <v>259</v>
      </c>
      <c r="T2" t="s">
        <v>260</v>
      </c>
    </row>
    <row r="3" spans="1:20" x14ac:dyDescent="0.25">
      <c r="A3" s="3" t="s">
        <v>5</v>
      </c>
      <c r="B3" s="5" t="s">
        <v>20</v>
      </c>
      <c r="C3" t="s">
        <v>25</v>
      </c>
      <c r="D3" s="5" t="s">
        <v>275</v>
      </c>
      <c r="E3" s="6" t="s">
        <v>115</v>
      </c>
      <c r="F3" s="6" t="s">
        <v>273</v>
      </c>
      <c r="G3" s="6" t="s">
        <v>272</v>
      </c>
      <c r="Q3">
        <v>1000</v>
      </c>
      <c r="R3">
        <v>1</v>
      </c>
      <c r="S3">
        <v>1</v>
      </c>
      <c r="T3">
        <v>0</v>
      </c>
    </row>
    <row r="4" spans="1:20" x14ac:dyDescent="0.25">
      <c r="A4" s="1">
        <v>1</v>
      </c>
      <c r="B4" t="s">
        <v>9</v>
      </c>
      <c r="C4" t="s">
        <v>28</v>
      </c>
      <c r="D4" s="11" cm="1">
        <f t="array" ref="D4">SUM((Clinics[Location]=Ratios[[#This Row],[Location]])*(Clinics[Participants]))</f>
        <v>1244</v>
      </c>
      <c r="E4" s="8" cm="1">
        <f t="array" ref="E4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622</v>
      </c>
      <c r="F4" s="8" t="e" cm="1">
        <f t="array" ref="F4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#DIV/0!</v>
      </c>
      <c r="G4" s="8" cm="1">
        <f t="array" ref="G4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0</v>
      </c>
      <c r="Q4">
        <v>2000</v>
      </c>
      <c r="R4">
        <v>2</v>
      </c>
      <c r="S4">
        <v>2</v>
      </c>
      <c r="T4">
        <v>0</v>
      </c>
    </row>
    <row r="5" spans="1:20" x14ac:dyDescent="0.25">
      <c r="A5" s="1">
        <v>3</v>
      </c>
      <c r="B5" t="s">
        <v>16</v>
      </c>
      <c r="C5" t="s">
        <v>27</v>
      </c>
      <c r="D5" s="11" cm="1">
        <f t="array" ref="D5">SUM((Clinics[Location]=Ratios[[#This Row],[Location]])*(Clinics[Participants]))</f>
        <v>4462</v>
      </c>
      <c r="E5" s="8" cm="1">
        <f t="array" ref="E5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1115.5</v>
      </c>
      <c r="F5" s="8" cm="1">
        <f t="array" ref="F5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2231</v>
      </c>
      <c r="G5" s="8" cm="1">
        <f t="array" ref="G5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1962</v>
      </c>
      <c r="Q5">
        <v>3000</v>
      </c>
      <c r="R5">
        <v>3</v>
      </c>
      <c r="S5">
        <v>2</v>
      </c>
      <c r="T5">
        <v>1</v>
      </c>
    </row>
    <row r="6" spans="1:20" x14ac:dyDescent="0.25">
      <c r="A6" s="1">
        <v>5</v>
      </c>
      <c r="B6" t="s">
        <v>10</v>
      </c>
      <c r="C6" t="s">
        <v>28</v>
      </c>
      <c r="D6" s="11" cm="1">
        <f t="array" ref="D6">SUM((Clinics[Location]=Ratios[[#This Row],[Location]])*(Clinics[Participants]))</f>
        <v>10040</v>
      </c>
      <c r="E6" s="8" cm="1">
        <f t="array" ref="E6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1004</v>
      </c>
      <c r="F6" s="8" cm="1">
        <f t="array" ref="F6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2008</v>
      </c>
      <c r="G6" s="8" cm="1">
        <f t="array" ref="G6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846.66666666666697</v>
      </c>
      <c r="Q6">
        <v>4000</v>
      </c>
      <c r="R6">
        <v>4</v>
      </c>
      <c r="S6">
        <v>3</v>
      </c>
      <c r="T6">
        <v>1</v>
      </c>
    </row>
    <row r="7" spans="1:20" x14ac:dyDescent="0.25">
      <c r="A7" s="1">
        <v>8</v>
      </c>
      <c r="B7" t="s">
        <v>21</v>
      </c>
      <c r="C7" t="s">
        <v>26</v>
      </c>
      <c r="D7" s="11" cm="1">
        <f t="array" ref="D7">SUM((Clinics[Location]=Ratios[[#This Row],[Location]])*(Clinics[Participants]))</f>
        <v>4977</v>
      </c>
      <c r="E7" s="8" cm="1">
        <f t="array" ref="E7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2488.5</v>
      </c>
      <c r="F7" s="8" cm="1">
        <f t="array" ref="F7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1244.25</v>
      </c>
      <c r="G7" s="8" cm="1">
        <f t="array" ref="G7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2477</v>
      </c>
      <c r="Q7">
        <v>5000</v>
      </c>
      <c r="R7">
        <v>5</v>
      </c>
      <c r="S7">
        <v>3</v>
      </c>
      <c r="T7">
        <v>1</v>
      </c>
    </row>
    <row r="8" spans="1:20" x14ac:dyDescent="0.25">
      <c r="A8" s="1">
        <v>9</v>
      </c>
      <c r="B8" t="s">
        <v>22</v>
      </c>
      <c r="C8" t="s">
        <v>26</v>
      </c>
      <c r="D8" s="11" cm="1">
        <f t="array" ref="D8">SUM((Clinics[Location]=Ratios[[#This Row],[Location]])*(Clinics[Participants]))</f>
        <v>9200</v>
      </c>
      <c r="E8" s="8" cm="1">
        <f t="array" ref="E8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1533.3333333333333</v>
      </c>
      <c r="F8" s="8" cm="1">
        <f t="array" ref="F8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1840</v>
      </c>
      <c r="G8" s="8" cm="1">
        <f t="array" ref="G8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2100</v>
      </c>
      <c r="Q8">
        <v>6000</v>
      </c>
      <c r="R8">
        <v>6</v>
      </c>
      <c r="S8">
        <v>4</v>
      </c>
      <c r="T8">
        <v>2</v>
      </c>
    </row>
    <row r="9" spans="1:20" x14ac:dyDescent="0.25">
      <c r="A9" s="1">
        <v>10</v>
      </c>
      <c r="B9" t="s">
        <v>17</v>
      </c>
      <c r="C9" t="s">
        <v>28</v>
      </c>
      <c r="D9" s="11" cm="1">
        <f t="array" ref="D9">SUM((Clinics[Location]=Ratios[[#This Row],[Location]])*(Clinics[Participants]))</f>
        <v>179</v>
      </c>
      <c r="E9" s="8" cm="1">
        <f t="array" ref="E9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179</v>
      </c>
      <c r="F9" s="8" cm="1">
        <f t="array" ref="F9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179</v>
      </c>
      <c r="G9" s="8" cm="1">
        <f t="array" ref="G9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0</v>
      </c>
      <c r="Q9">
        <v>7000</v>
      </c>
      <c r="R9">
        <v>7</v>
      </c>
      <c r="S9">
        <v>4</v>
      </c>
      <c r="T9">
        <v>2</v>
      </c>
    </row>
    <row r="10" spans="1:20" x14ac:dyDescent="0.25">
      <c r="A10" s="1">
        <v>11</v>
      </c>
      <c r="B10" t="s">
        <v>13</v>
      </c>
      <c r="C10" t="s">
        <v>31</v>
      </c>
      <c r="D10" s="11" cm="1">
        <f t="array" ref="D10">SUM((Clinics[Location]=Ratios[[#This Row],[Location]])*(Clinics[Participants]))</f>
        <v>6182</v>
      </c>
      <c r="E10" s="8" cm="1">
        <f t="array" ref="E10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1545.5</v>
      </c>
      <c r="F10" s="8" cm="1">
        <f t="array" ref="F10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2060.666666666667</v>
      </c>
      <c r="G10" s="8" cm="1">
        <f t="array" ref="G10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3682</v>
      </c>
      <c r="Q10">
        <v>8000</v>
      </c>
      <c r="R10">
        <v>8</v>
      </c>
      <c r="S10">
        <v>5</v>
      </c>
      <c r="T10">
        <v>3</v>
      </c>
    </row>
    <row r="11" spans="1:20" x14ac:dyDescent="0.25">
      <c r="A11" s="1">
        <v>17</v>
      </c>
      <c r="B11" t="s">
        <v>23</v>
      </c>
      <c r="C11" t="s">
        <v>26</v>
      </c>
      <c r="D11" s="11" cm="1">
        <f t="array" ref="D11">SUM((Clinics[Location]=Ratios[[#This Row],[Location]])*(Clinics[Participants]))</f>
        <v>3818</v>
      </c>
      <c r="E11" s="8" cm="1">
        <f t="array" ref="E11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1909</v>
      </c>
      <c r="F11" s="8" cm="1">
        <f t="array" ref="F11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3818</v>
      </c>
      <c r="G11" s="8" cm="1">
        <f t="array" ref="G11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1318</v>
      </c>
      <c r="Q11">
        <v>9000</v>
      </c>
      <c r="R11">
        <v>9</v>
      </c>
      <c r="S11">
        <v>5</v>
      </c>
      <c r="T11">
        <v>3</v>
      </c>
    </row>
    <row r="12" spans="1:20" x14ac:dyDescent="0.25">
      <c r="A12" s="1">
        <v>24</v>
      </c>
      <c r="B12" t="s">
        <v>12</v>
      </c>
      <c r="C12" t="s">
        <v>31</v>
      </c>
      <c r="D12" s="11" cm="1">
        <f t="array" ref="D12">SUM((Clinics[Location]=Ratios[[#This Row],[Location]])*(Clinics[Participants]))</f>
        <v>6959</v>
      </c>
      <c r="E12" s="8" cm="1">
        <f t="array" ref="E12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773.22222222222229</v>
      </c>
      <c r="F12" s="8" cm="1">
        <f t="array" ref="F12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3479.4999999999995</v>
      </c>
      <c r="G12" s="8" cm="1">
        <f t="array" ref="G12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979.49999999999955</v>
      </c>
      <c r="Q12">
        <v>10000</v>
      </c>
      <c r="R12">
        <v>10</v>
      </c>
      <c r="S12">
        <v>6</v>
      </c>
      <c r="T12">
        <v>3</v>
      </c>
    </row>
    <row r="13" spans="1:20" x14ac:dyDescent="0.25">
      <c r="A13" s="1">
        <v>25</v>
      </c>
      <c r="B13" t="s">
        <v>18</v>
      </c>
      <c r="C13" t="s">
        <v>27</v>
      </c>
      <c r="D13" s="11" cm="1">
        <f t="array" ref="D13">SUM((Clinics[Location]=Ratios[[#This Row],[Location]])*(Clinics[Participants]))</f>
        <v>8800</v>
      </c>
      <c r="E13" s="8" cm="1">
        <f t="array" ref="E13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800</v>
      </c>
      <c r="F13" s="8" cm="1">
        <f t="array" ref="F13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1466.6666666666665</v>
      </c>
      <c r="G13" s="8" cm="1">
        <f t="array" ref="G13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1900</v>
      </c>
    </row>
    <row r="14" spans="1:20" x14ac:dyDescent="0.25">
      <c r="A14" s="1">
        <v>26</v>
      </c>
      <c r="B14" t="s">
        <v>11</v>
      </c>
      <c r="C14" t="s">
        <v>30</v>
      </c>
      <c r="D14" s="11" cm="1">
        <f t="array" ref="D14">SUM((Clinics[Location]=Ratios[[#This Row],[Location]])*(Clinics[Participants]))</f>
        <v>7749</v>
      </c>
      <c r="E14" s="8" cm="1">
        <f t="array" ref="E14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645.75</v>
      </c>
      <c r="F14" s="8" cm="1">
        <f t="array" ref="F14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1291.5</v>
      </c>
      <c r="G14" s="8" cm="1">
        <f t="array" ref="G14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1374.5000000000005</v>
      </c>
      <c r="Q14" s="2" t="s">
        <v>266</v>
      </c>
      <c r="S14" s="2" t="s">
        <v>267</v>
      </c>
      <c r="T14" s="2" t="s">
        <v>267</v>
      </c>
    </row>
    <row r="15" spans="1:20" x14ac:dyDescent="0.25">
      <c r="A15" s="1">
        <v>30</v>
      </c>
      <c r="B15" t="s">
        <v>19</v>
      </c>
      <c r="C15" t="s">
        <v>27</v>
      </c>
      <c r="D15" s="11" cm="1">
        <f t="array" ref="D15">SUM((Clinics[Location]=Ratios[[#This Row],[Location]])*(Clinics[Participants]))</f>
        <v>3818</v>
      </c>
      <c r="E15" s="8" cm="1">
        <f t="array" ref="E15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1909</v>
      </c>
      <c r="F15" s="8" cm="1">
        <f t="array" ref="F15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3818</v>
      </c>
      <c r="G15" s="8" cm="1">
        <f t="array" ref="G15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1318</v>
      </c>
      <c r="Q15" t="s">
        <v>258</v>
      </c>
      <c r="R15" t="s">
        <v>71</v>
      </c>
      <c r="S15" t="s">
        <v>259</v>
      </c>
      <c r="T15" t="s">
        <v>260</v>
      </c>
    </row>
    <row r="16" spans="1:20" x14ac:dyDescent="0.25">
      <c r="A16" s="1">
        <v>32</v>
      </c>
      <c r="B16" t="s">
        <v>14</v>
      </c>
      <c r="C16" t="s">
        <v>30</v>
      </c>
      <c r="D16" s="11" cm="1">
        <f t="array" ref="D16">SUM((Clinics[Location]=Ratios[[#This Row],[Location]])*(Clinics[Participants]))</f>
        <v>4755</v>
      </c>
      <c r="E16" s="8" cm="1">
        <f t="array" ref="E16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1584.9999999999998</v>
      </c>
      <c r="F16" s="8" cm="1">
        <f t="array" ref="F16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2377.5</v>
      </c>
      <c r="G16" s="8" cm="1">
        <f t="array" ref="G16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2255</v>
      </c>
      <c r="Q16">
        <v>1000</v>
      </c>
      <c r="R16">
        <f>(1/1000)*Linreg[[#This Row],[Participation]]</f>
        <v>1</v>
      </c>
      <c r="S16" s="9">
        <f>ROUNDUP((1/1800)*Linreg[[#This Row],[Participation]],0)</f>
        <v>1</v>
      </c>
      <c r="T16">
        <f>IF(ROUNDUP((1/2500)*Linreg[[#This Row],[Participation]]-1,0)&gt;=0,ROUNDUP((1/2500)*Linreg[[#This Row],[Participation]]-1,0),0)</f>
        <v>0</v>
      </c>
    </row>
    <row r="17" spans="1:20" x14ac:dyDescent="0.25">
      <c r="A17" s="1">
        <v>34</v>
      </c>
      <c r="B17" t="s">
        <v>24</v>
      </c>
      <c r="C17" t="s">
        <v>31</v>
      </c>
      <c r="D17" s="11" cm="1">
        <f t="array" ref="D17">SUM((Clinics[Location]=Ratios[[#This Row],[Location]])*(Clinics[Participants]))</f>
        <v>141</v>
      </c>
      <c r="E17" s="8" cm="1">
        <f t="array" ref="E17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70.5</v>
      </c>
      <c r="F17" s="8" cm="1">
        <f t="array" ref="F17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141</v>
      </c>
      <c r="G17" s="8" cm="1">
        <f t="array" ref="G17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0</v>
      </c>
      <c r="Q17">
        <v>2000</v>
      </c>
      <c r="R17">
        <f>(1/1000)*Linreg[[#This Row],[Participation]]</f>
        <v>2</v>
      </c>
      <c r="S17" s="9">
        <f>ROUNDUP((1/1800)*Linreg[[#This Row],[Participation]],0)</f>
        <v>2</v>
      </c>
      <c r="T17">
        <f>IF(ROUNDUP((1/2500)*Linreg[[#This Row],[Participation]]-1,0)&gt;=0,ROUNDUP((1/2500)*Linreg[[#This Row],[Participation]]-1,0),0)</f>
        <v>0</v>
      </c>
    </row>
    <row r="18" spans="1:20" x14ac:dyDescent="0.25">
      <c r="A18" s="1">
        <v>37</v>
      </c>
      <c r="B18" t="s">
        <v>15</v>
      </c>
      <c r="C18" t="s">
        <v>30</v>
      </c>
      <c r="D18" s="11" cm="1">
        <f t="array" ref="D18">SUM((Clinics[Location]=Ratios[[#This Row],[Location]])*(Clinics[Participants]))</f>
        <v>4606</v>
      </c>
      <c r="E18" s="8" cm="1">
        <f t="array" ref="E18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767.66666666666674</v>
      </c>
      <c r="F18" s="8" cm="1">
        <f t="array" ref="F18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1535.3333333333335</v>
      </c>
      <c r="G18" s="8" cm="1">
        <f t="array" ref="G18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2106</v>
      </c>
      <c r="Q18">
        <v>3000</v>
      </c>
      <c r="R18">
        <f>(1/1000)*Linreg[[#This Row],[Participation]]</f>
        <v>3</v>
      </c>
      <c r="S18" s="9">
        <f>ROUNDUP((1/1800)*Linreg[[#This Row],[Participation]],0)</f>
        <v>2</v>
      </c>
      <c r="T18">
        <f>IF(ROUNDUP((1/2500)*Linreg[[#This Row],[Participation]]-1,0)&gt;=0,ROUNDUP((1/2500)*Linreg[[#This Row],[Participation]]-1,0),0)</f>
        <v>1</v>
      </c>
    </row>
    <row r="19" spans="1:20" x14ac:dyDescent="0.25">
      <c r="A19" s="1">
        <v>42</v>
      </c>
      <c r="B19" t="s">
        <v>29</v>
      </c>
      <c r="C19" t="s">
        <v>28</v>
      </c>
      <c r="D19" s="11" cm="1">
        <f t="array" ref="D19">SUM((Clinics[Location]=Ratios[[#This Row],[Location]])*(Clinics[Participants]))</f>
        <v>0</v>
      </c>
      <c r="E19" s="8" t="e" cm="1">
        <f t="array" ref="E19">1/(SUM((Staff[Location]=Ratios[[#This Row],[Location]])*(ISNUMBER(MATCH(Staff[Position], Roles[Clerk], 0)))*(Staff[Vacant]&lt;&gt;TRUE)*(Staff[On leave]&lt;&gt;TRUE)*(Staff[In training]&lt;&gt;TRUE))/SUM((Clinics[Location]=Ratios[[#This Row],[Location]])*Clinics[Participants]))</f>
        <v>#DIV/0!</v>
      </c>
      <c r="F19" s="8" t="e" cm="1">
        <f t="array" ref="F19">1/(SUM((Staff[Location]=Ratios[[#This Row],[Location]])*((ISNUMBER(MATCH(Staff[Position], Roles[Certifier], 0))*(Staff[Vacant]&lt;&gt;TRUE)*(Staff[On leave]&lt;&gt;TRUE)*(Staff[In training]&lt;&gt;TRUE))))/SUM((Clinics[Location]=Ratios[[#This Row],[Location]])*Clinics[Participants]))</f>
        <v>#DIV/0!</v>
      </c>
      <c r="G19" s="8" cm="1">
        <f t="array" ref="G19">IF(SUM((Clinics[Location]=Ratios[[#This Row],[Location]])*Clinics[Participants])&gt;=2500,1/(SUM((Staff[Location]=Ratios[[#This Row],[Location]])*((ISNUMBER(MATCH(Staff[Position], Roles[Supervisor], 0))*(Staff[Vacant]&lt;&gt;TRUE)*(Staff[On leave]&lt;&gt;TRUE)*(Staff[In training]&lt;&gt;TRUE))))/SUM((Clinics[Location]=Ratios[[#This Row],[Location]])*Clinics[Participants]))-2500,0)</f>
        <v>0</v>
      </c>
      <c r="I19" s="10" t="s">
        <v>261</v>
      </c>
      <c r="J19" s="10" t="s">
        <v>262</v>
      </c>
      <c r="K19" s="10"/>
      <c r="L19" s="10" t="s">
        <v>276</v>
      </c>
      <c r="Q19">
        <v>4000</v>
      </c>
      <c r="R19">
        <f>(1/1000)*Linreg[[#This Row],[Participation]]</f>
        <v>4</v>
      </c>
      <c r="S19" s="9">
        <f>ROUNDUP((1/1800)*Linreg[[#This Row],[Participation]],0)</f>
        <v>3</v>
      </c>
      <c r="T19">
        <f>IF(ROUNDUP((1/2500)*Linreg[[#This Row],[Participation]]-1,0)&gt;=0,ROUNDUP((1/2500)*Linreg[[#This Row],[Participation]]-1,0),0)</f>
        <v>1</v>
      </c>
    </row>
    <row r="20" spans="1:20" x14ac:dyDescent="0.25">
      <c r="I20" s="2" t="s">
        <v>124</v>
      </c>
      <c r="J20" s="2" t="s">
        <v>264</v>
      </c>
      <c r="L20" s="2" t="s">
        <v>269</v>
      </c>
      <c r="Q20">
        <v>5000</v>
      </c>
      <c r="R20">
        <f>(1/1000)*Linreg[[#This Row],[Participation]]</f>
        <v>5</v>
      </c>
      <c r="S20" s="9">
        <f>ROUNDUP((1/1800)*Linreg[[#This Row],[Participation]],0)</f>
        <v>3</v>
      </c>
      <c r="T20">
        <f>IF(ROUNDUP((1/2500)*Linreg[[#This Row],[Participation]]-1,0)&gt;=0,ROUNDUP((1/2500)*Linreg[[#This Row],[Participation]]-1,0),0)</f>
        <v>1</v>
      </c>
    </row>
    <row r="21" spans="1:20" x14ac:dyDescent="0.25">
      <c r="I21" s="2" t="s">
        <v>122</v>
      </c>
      <c r="J21" s="2" t="s">
        <v>265</v>
      </c>
      <c r="L21" s="2" t="s">
        <v>270</v>
      </c>
      <c r="Q21">
        <v>6000</v>
      </c>
      <c r="R21">
        <f>(1/1000)*Linreg[[#This Row],[Participation]]</f>
        <v>6</v>
      </c>
      <c r="S21" s="9">
        <f>ROUNDUP((1/1800)*Linreg[[#This Row],[Participation]],0)</f>
        <v>4</v>
      </c>
      <c r="T21">
        <f>IF(ROUNDUP((1/2500)*Linreg[[#This Row],[Participation]]-1,0)&gt;=0,ROUNDUP((1/2500)*Linreg[[#This Row],[Participation]]-1,0),0)</f>
        <v>2</v>
      </c>
    </row>
    <row r="22" spans="1:20" x14ac:dyDescent="0.25">
      <c r="I22" s="2" t="s">
        <v>133</v>
      </c>
      <c r="J22" s="2" t="s">
        <v>268</v>
      </c>
      <c r="L22" s="2" t="s">
        <v>271</v>
      </c>
      <c r="Q22">
        <v>7000</v>
      </c>
      <c r="R22">
        <f>(1/1000)*Linreg[[#This Row],[Participation]]</f>
        <v>7</v>
      </c>
      <c r="S22" s="9">
        <f>ROUNDUP((1/1800)*Linreg[[#This Row],[Participation]],0)</f>
        <v>4</v>
      </c>
      <c r="T22">
        <f>IF(ROUNDUP((1/2500)*Linreg[[#This Row],[Participation]]-1,0)&gt;=0,ROUNDUP((1/2500)*Linreg[[#This Row],[Participation]]-1,0),0)</f>
        <v>2</v>
      </c>
    </row>
    <row r="23" spans="1:20" x14ac:dyDescent="0.25">
      <c r="Q23">
        <v>8000</v>
      </c>
      <c r="R23">
        <f>(1/1000)*Linreg[[#This Row],[Participation]]</f>
        <v>8</v>
      </c>
      <c r="S23" s="9">
        <f>ROUNDUP((1/1800)*Linreg[[#This Row],[Participation]],0)</f>
        <v>5</v>
      </c>
      <c r="T23">
        <f>IF(ROUNDUP((1/2500)*Linreg[[#This Row],[Participation]]-1,0)&gt;=0,ROUNDUP((1/2500)*Linreg[[#This Row],[Participation]]-1,0),0)</f>
        <v>3</v>
      </c>
    </row>
    <row r="24" spans="1:20" x14ac:dyDescent="0.25">
      <c r="Q24">
        <v>9000</v>
      </c>
      <c r="R24">
        <f>(1/1000)*Linreg[[#This Row],[Participation]]</f>
        <v>9</v>
      </c>
      <c r="S24" s="9">
        <f>ROUNDUP((1/1800)*Linreg[[#This Row],[Participation]],0)</f>
        <v>5</v>
      </c>
      <c r="T24">
        <f>IF(ROUNDUP((1/2500)*Linreg[[#This Row],[Participation]]-1,0)&gt;=0,ROUNDUP((1/2500)*Linreg[[#This Row],[Participation]]-1,0),0)</f>
        <v>3</v>
      </c>
    </row>
    <row r="25" spans="1:20" x14ac:dyDescent="0.25">
      <c r="Q25">
        <v>10000</v>
      </c>
      <c r="R25">
        <f>(1/1000)*Linreg[[#This Row],[Participation]]</f>
        <v>10</v>
      </c>
      <c r="S25" s="9">
        <f>ROUNDUP((1/1800)*Linreg[[#This Row],[Participation]],0)</f>
        <v>6</v>
      </c>
      <c r="T25">
        <f>IF(ROUNDUP((1/2500)*Linreg[[#This Row],[Participation]]-1,0)&gt;=0,ROUNDUP((1/2500)*Linreg[[#This Row],[Participation]]-1,0),0)</f>
        <v>3</v>
      </c>
    </row>
  </sheetData>
  <mergeCells count="1">
    <mergeCell ref="A1:G2"/>
  </mergeCells>
  <conditionalFormatting sqref="A4:G19">
    <cfRule type="expression" dxfId="32" priority="1">
      <formula>$D4&lt;2500</formula>
    </cfRule>
  </conditionalFormatting>
  <pageMargins left="0.7" right="0.7" top="0.75" bottom="0.75" header="0.3" footer="0.3"/>
  <pageSetup orientation="portrait" horizontalDpi="1200" verticalDpi="1200" r:id="rId1"/>
  <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BBA39-8FFF-439E-BF8A-0A52C67F1A6E}">
  <sheetPr codeName="Sheet5"/>
  <dimension ref="A1:I23"/>
  <sheetViews>
    <sheetView workbookViewId="0">
      <selection activeCell="D8" sqref="D8"/>
    </sheetView>
  </sheetViews>
  <sheetFormatPr defaultRowHeight="13.2" x14ac:dyDescent="0.25"/>
  <cols>
    <col min="1" max="1" width="21.77734375" customWidth="1"/>
    <col min="2" max="2" width="40.44140625" customWidth="1"/>
    <col min="4" max="6" width="19.109375" customWidth="1"/>
  </cols>
  <sheetData>
    <row r="1" spans="1:9" x14ac:dyDescent="0.25">
      <c r="A1" s="5" t="s">
        <v>70</v>
      </c>
      <c r="B1" s="5" t="s">
        <v>52</v>
      </c>
      <c r="D1" s="5" t="s">
        <v>71</v>
      </c>
      <c r="E1" s="5" t="s">
        <v>75</v>
      </c>
      <c r="F1" s="5" t="s">
        <v>263</v>
      </c>
      <c r="H1" s="5" t="s">
        <v>73</v>
      </c>
      <c r="I1" s="5" t="s">
        <v>52</v>
      </c>
    </row>
    <row r="2" spans="1:9" x14ac:dyDescent="0.25">
      <c r="A2" t="s">
        <v>45</v>
      </c>
      <c r="D2" s="5" t="s">
        <v>33</v>
      </c>
      <c r="E2" s="5" t="s">
        <v>34</v>
      </c>
      <c r="F2" s="5" t="s">
        <v>32</v>
      </c>
      <c r="H2" t="s">
        <v>32</v>
      </c>
    </row>
    <row r="3" spans="1:9" x14ac:dyDescent="0.25">
      <c r="A3" t="s">
        <v>36</v>
      </c>
      <c r="B3" s="5" t="s">
        <v>67</v>
      </c>
      <c r="D3" s="5" t="s">
        <v>4</v>
      </c>
      <c r="E3" s="5" t="s">
        <v>2</v>
      </c>
      <c r="F3" s="5" t="s">
        <v>133</v>
      </c>
      <c r="H3" t="s">
        <v>33</v>
      </c>
      <c r="I3" s="5" t="s">
        <v>60</v>
      </c>
    </row>
    <row r="4" spans="1:9" x14ac:dyDescent="0.25">
      <c r="A4" s="5" t="s">
        <v>122</v>
      </c>
      <c r="B4" t="s">
        <v>123</v>
      </c>
      <c r="D4" s="5" t="s">
        <v>3</v>
      </c>
      <c r="E4" t="s">
        <v>35</v>
      </c>
      <c r="F4" s="5" t="s">
        <v>42</v>
      </c>
      <c r="H4" t="s">
        <v>34</v>
      </c>
    </row>
    <row r="5" spans="1:9" x14ac:dyDescent="0.25">
      <c r="A5" s="5" t="s">
        <v>124</v>
      </c>
      <c r="B5" t="s">
        <v>123</v>
      </c>
      <c r="D5" s="5" t="s">
        <v>36</v>
      </c>
      <c r="E5" t="s">
        <v>122</v>
      </c>
      <c r="H5" t="s">
        <v>2</v>
      </c>
    </row>
    <row r="6" spans="1:9" x14ac:dyDescent="0.25">
      <c r="A6" s="5" t="s">
        <v>77</v>
      </c>
      <c r="D6" s="5" t="s">
        <v>124</v>
      </c>
      <c r="E6" t="s">
        <v>169</v>
      </c>
      <c r="H6" t="s">
        <v>4</v>
      </c>
      <c r="I6" s="5" t="s">
        <v>61</v>
      </c>
    </row>
    <row r="7" spans="1:9" x14ac:dyDescent="0.25">
      <c r="A7" t="s">
        <v>32</v>
      </c>
      <c r="D7" s="5" t="s">
        <v>80</v>
      </c>
      <c r="H7" t="s">
        <v>35</v>
      </c>
      <c r="I7" s="5" t="s">
        <v>62</v>
      </c>
    </row>
    <row r="8" spans="1:9" x14ac:dyDescent="0.25">
      <c r="A8" t="s">
        <v>33</v>
      </c>
      <c r="B8" s="5" t="s">
        <v>60</v>
      </c>
      <c r="H8" t="s">
        <v>37</v>
      </c>
      <c r="I8" s="5" t="s">
        <v>63</v>
      </c>
    </row>
    <row r="9" spans="1:9" x14ac:dyDescent="0.25">
      <c r="A9" s="5" t="s">
        <v>80</v>
      </c>
      <c r="B9" s="2" t="s">
        <v>51</v>
      </c>
      <c r="H9" t="s">
        <v>36</v>
      </c>
      <c r="I9" s="5" t="s">
        <v>67</v>
      </c>
    </row>
    <row r="10" spans="1:9" x14ac:dyDescent="0.25">
      <c r="A10" t="s">
        <v>4</v>
      </c>
      <c r="B10" s="5" t="s">
        <v>74</v>
      </c>
      <c r="H10" t="s">
        <v>38</v>
      </c>
      <c r="I10" s="2" t="s">
        <v>51</v>
      </c>
    </row>
    <row r="11" spans="1:9" x14ac:dyDescent="0.25">
      <c r="A11" t="s">
        <v>40</v>
      </c>
      <c r="B11" s="5" t="s">
        <v>65</v>
      </c>
      <c r="H11" t="s">
        <v>39</v>
      </c>
      <c r="I11" s="5" t="s">
        <v>64</v>
      </c>
    </row>
    <row r="12" spans="1:9" x14ac:dyDescent="0.25">
      <c r="A12" t="s">
        <v>3</v>
      </c>
      <c r="B12" s="5" t="s">
        <v>78</v>
      </c>
      <c r="H12" t="s">
        <v>40</v>
      </c>
      <c r="I12" s="5" t="s">
        <v>65</v>
      </c>
    </row>
    <row r="13" spans="1:9" x14ac:dyDescent="0.25">
      <c r="A13" t="s">
        <v>34</v>
      </c>
      <c r="B13" s="5" t="s">
        <v>79</v>
      </c>
      <c r="H13" t="s">
        <v>50</v>
      </c>
      <c r="I13" s="5" t="s">
        <v>53</v>
      </c>
    </row>
    <row r="14" spans="1:9" x14ac:dyDescent="0.25">
      <c r="A14" t="s">
        <v>46</v>
      </c>
      <c r="B14" s="5" t="s">
        <v>56</v>
      </c>
      <c r="H14" t="s">
        <v>49</v>
      </c>
      <c r="I14" s="5" t="s">
        <v>53</v>
      </c>
    </row>
    <row r="15" spans="1:9" x14ac:dyDescent="0.25">
      <c r="A15" t="s">
        <v>39</v>
      </c>
      <c r="B15" s="5" t="s">
        <v>64</v>
      </c>
      <c r="H15" t="s">
        <v>41</v>
      </c>
    </row>
    <row r="16" spans="1:9" x14ac:dyDescent="0.25">
      <c r="A16" t="s">
        <v>47</v>
      </c>
      <c r="B16" s="5" t="s">
        <v>66</v>
      </c>
      <c r="H16" t="s">
        <v>42</v>
      </c>
    </row>
    <row r="17" spans="1:9" x14ac:dyDescent="0.25">
      <c r="A17" s="5" t="s">
        <v>72</v>
      </c>
      <c r="B17" s="5" t="s">
        <v>58</v>
      </c>
      <c r="H17" t="s">
        <v>43</v>
      </c>
      <c r="I17" s="5" t="s">
        <v>55</v>
      </c>
    </row>
    <row r="18" spans="1:9" x14ac:dyDescent="0.25">
      <c r="A18" t="s">
        <v>41</v>
      </c>
      <c r="H18" t="s">
        <v>44</v>
      </c>
      <c r="I18" s="5" t="s">
        <v>54</v>
      </c>
    </row>
    <row r="19" spans="1:9" x14ac:dyDescent="0.25">
      <c r="A19" t="s">
        <v>43</v>
      </c>
      <c r="B19" s="5" t="s">
        <v>55</v>
      </c>
      <c r="H19" t="s">
        <v>45</v>
      </c>
    </row>
    <row r="20" spans="1:9" x14ac:dyDescent="0.25">
      <c r="A20" t="s">
        <v>42</v>
      </c>
      <c r="H20" t="s">
        <v>46</v>
      </c>
      <c r="I20" s="5" t="s">
        <v>56</v>
      </c>
    </row>
    <row r="21" spans="1:9" x14ac:dyDescent="0.25">
      <c r="A21" t="s">
        <v>133</v>
      </c>
      <c r="B21" t="s">
        <v>123</v>
      </c>
      <c r="H21" t="s">
        <v>47</v>
      </c>
      <c r="I21" s="5" t="s">
        <v>66</v>
      </c>
    </row>
    <row r="22" spans="1:9" x14ac:dyDescent="0.25">
      <c r="A22" t="s">
        <v>2</v>
      </c>
      <c r="B22" s="5" t="s">
        <v>76</v>
      </c>
      <c r="H22" t="s">
        <v>3</v>
      </c>
      <c r="I22" s="5" t="s">
        <v>57</v>
      </c>
    </row>
    <row r="23" spans="1:9" x14ac:dyDescent="0.25">
      <c r="A23" t="s">
        <v>169</v>
      </c>
      <c r="B23" s="5" t="s">
        <v>170</v>
      </c>
      <c r="H23" t="s">
        <v>48</v>
      </c>
      <c r="I23" s="5" t="s">
        <v>59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FD766B10D4CB45984E8EFED697EBE4" ma:contentTypeVersion="12" ma:contentTypeDescription="Create a new document." ma:contentTypeScope="" ma:versionID="6fd2a57bdecb727c37ce1ec21b977669">
  <xsd:schema xmlns:xsd="http://www.w3.org/2001/XMLSchema" xmlns:xs="http://www.w3.org/2001/XMLSchema" xmlns:p="http://schemas.microsoft.com/office/2006/metadata/properties" xmlns:ns3="47246ad5-ea08-4869-b93a-8545dfb0b661" xmlns:ns4="30e45eb3-1dee-4253-9695-f559e20a91b3" targetNamespace="http://schemas.microsoft.com/office/2006/metadata/properties" ma:root="true" ma:fieldsID="2218dd1b448b5ecab271e416ddfdb49d" ns3:_="" ns4:_="">
    <xsd:import namespace="47246ad5-ea08-4869-b93a-8545dfb0b661"/>
    <xsd:import namespace="30e45eb3-1dee-4253-9695-f559e20a91b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_activity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246ad5-ea08-4869-b93a-8545dfb0b6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e45eb3-1dee-4253-9695-f559e20a91b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7246ad5-ea08-4869-b93a-8545dfb0b661" xsi:nil="true"/>
  </documentManagement>
</p:properties>
</file>

<file path=customXml/itemProps1.xml><?xml version="1.0" encoding="utf-8"?>
<ds:datastoreItem xmlns:ds="http://schemas.openxmlformats.org/officeDocument/2006/customXml" ds:itemID="{7B6E1D97-0CB5-4B8D-84B8-77DDCE0FE8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246ad5-ea08-4869-b93a-8545dfb0b661"/>
    <ds:schemaRef ds:uri="30e45eb3-1dee-4253-9695-f559e20a91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198D6CC-1DB1-421F-8DE9-108E471A3BF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F8802A-7F74-4708-8161-619A53D5C1DD}">
  <ds:schemaRefs>
    <ds:schemaRef ds:uri="http://schemas.microsoft.com/office/infopath/2007/PartnerControls"/>
    <ds:schemaRef ds:uri="http://purl.org/dc/terms/"/>
    <ds:schemaRef ds:uri="http://www.w3.org/XML/1998/namespace"/>
    <ds:schemaRef ds:uri="http://purl.org/dc/dcmitype/"/>
    <ds:schemaRef ds:uri="47246ad5-ea08-4869-b93a-8545dfb0b661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30e45eb3-1dee-4253-9695-f559e20a91b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Input</vt:lpstr>
      <vt:lpstr>Insights</vt:lpstr>
      <vt:lpstr>Staff</vt:lpstr>
      <vt:lpstr>Clinics</vt:lpstr>
      <vt:lpstr>Ratios</vt:lpstr>
      <vt:lpstr>Roles</vt:lpstr>
      <vt:lpstr>Vacancies</vt:lpstr>
    </vt:vector>
  </TitlesOfParts>
  <Manager/>
  <Company>City of Dallas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taylor@childpovertyactionlab.org</dc:creator>
  <cp:keywords/>
  <dc:description/>
  <cp:lastModifiedBy>Taylor Crockett</cp:lastModifiedBy>
  <cp:revision>4</cp:revision>
  <cp:lastPrinted>2022-08-03T15:14:57Z</cp:lastPrinted>
  <dcterms:created xsi:type="dcterms:W3CDTF">2007-02-05T15:20:18Z</dcterms:created>
  <dcterms:modified xsi:type="dcterms:W3CDTF">2023-07-03T21:46:46Z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City of Dallas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ContentTypeId">
    <vt:lpwstr>0x0101009FFD766B10D4CB45984E8EFED697EBE4</vt:lpwstr>
  </property>
</Properties>
</file>